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people.ey.com/personal/felipe_mesa_co_ey_com/Documents/Escritorio/"/>
    </mc:Choice>
  </mc:AlternateContent>
  <xr:revisionPtr revIDLastSave="21139" documentId="8_{F0545F3A-5894-4108-9250-900E7681B3F7}" xr6:coauthVersionLast="47" xr6:coauthVersionMax="47" xr10:uidLastSave="{F5FDB316-6530-465E-998B-B21A0703BA34}"/>
  <bookViews>
    <workbookView xWindow="0" yWindow="80" windowWidth="19200" windowHeight="11200" xr2:uid="{57E78DB4-DD7D-4166-9546-031C589586E8}"/>
  </bookViews>
  <sheets>
    <sheet name="ICETEX" sheetId="1" r:id="rId1"/>
    <sheet name="Analisis" sheetId="6" r:id="rId2"/>
    <sheet name="UVR" sheetId="2" r:id="rId3"/>
  </sheets>
  <externalReferences>
    <externalReference r:id="rId4"/>
  </externalReferences>
  <definedNames>
    <definedName name="_xleta.TODAY" hidden="1" xlm="1">#NAME?</definedName>
  </definedNames>
  <calcPr calcId="19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01" i="1" l="1"/>
  <c r="M1000" i="1"/>
  <c r="M999" i="1"/>
  <c r="M998" i="1"/>
  <c r="M997" i="1"/>
  <c r="M996" i="1"/>
  <c r="M995" i="1"/>
  <c r="M994" i="1"/>
  <c r="M993" i="1"/>
  <c r="M992" i="1"/>
  <c r="M991" i="1"/>
  <c r="M990" i="1"/>
  <c r="M989" i="1"/>
  <c r="M988" i="1"/>
  <c r="M987" i="1"/>
  <c r="M986" i="1"/>
  <c r="M985" i="1"/>
  <c r="M984" i="1"/>
  <c r="M983" i="1"/>
  <c r="M982" i="1"/>
  <c r="M981" i="1"/>
  <c r="M980" i="1"/>
  <c r="M979" i="1"/>
  <c r="M978" i="1"/>
  <c r="M977" i="1"/>
  <c r="M976" i="1"/>
  <c r="M975" i="1"/>
  <c r="M974" i="1"/>
  <c r="M973" i="1"/>
  <c r="M972" i="1"/>
  <c r="M971" i="1"/>
  <c r="M970" i="1"/>
  <c r="M969" i="1"/>
  <c r="M968" i="1"/>
  <c r="M967" i="1"/>
  <c r="M966" i="1"/>
  <c r="M965" i="1"/>
  <c r="M964" i="1"/>
  <c r="M963" i="1"/>
  <c r="M962" i="1"/>
  <c r="M961" i="1"/>
  <c r="M960" i="1"/>
  <c r="M959" i="1"/>
  <c r="M958" i="1"/>
  <c r="M957" i="1"/>
  <c r="M956" i="1"/>
  <c r="M955" i="1"/>
  <c r="M954" i="1"/>
  <c r="M953" i="1"/>
  <c r="M952" i="1"/>
  <c r="M951" i="1"/>
  <c r="M950" i="1"/>
  <c r="M949" i="1"/>
  <c r="M948" i="1"/>
  <c r="M947" i="1"/>
  <c r="M946" i="1"/>
  <c r="M945" i="1"/>
  <c r="M944" i="1"/>
  <c r="M943" i="1"/>
  <c r="M942" i="1"/>
  <c r="M941" i="1"/>
  <c r="M940" i="1"/>
  <c r="M939" i="1"/>
  <c r="M938" i="1"/>
  <c r="M937" i="1"/>
  <c r="M936" i="1"/>
  <c r="M935" i="1"/>
  <c r="M934" i="1"/>
  <c r="M933" i="1"/>
  <c r="M932" i="1"/>
  <c r="M931" i="1"/>
  <c r="M930" i="1"/>
  <c r="M929" i="1"/>
  <c r="M928" i="1"/>
  <c r="M927" i="1"/>
  <c r="M926" i="1"/>
  <c r="M925" i="1"/>
  <c r="M924" i="1"/>
  <c r="M923" i="1"/>
  <c r="M922" i="1"/>
  <c r="M921" i="1"/>
  <c r="M920" i="1"/>
  <c r="M919" i="1"/>
  <c r="M918" i="1"/>
  <c r="M917" i="1"/>
  <c r="M916" i="1"/>
  <c r="M915" i="1"/>
  <c r="M914" i="1"/>
  <c r="M913" i="1"/>
  <c r="M912" i="1"/>
  <c r="M911" i="1"/>
  <c r="M910" i="1"/>
  <c r="M909" i="1"/>
  <c r="M908" i="1"/>
  <c r="M907" i="1"/>
  <c r="M906" i="1"/>
  <c r="M905" i="1"/>
  <c r="M904" i="1"/>
  <c r="M903" i="1"/>
  <c r="M902" i="1"/>
  <c r="M901" i="1"/>
  <c r="M900" i="1"/>
  <c r="M899" i="1"/>
  <c r="M898" i="1"/>
  <c r="M897" i="1"/>
  <c r="M896" i="1"/>
  <c r="M895" i="1"/>
  <c r="M894" i="1"/>
  <c r="M893" i="1"/>
  <c r="M892" i="1"/>
  <c r="M891" i="1"/>
  <c r="M890" i="1"/>
  <c r="M889" i="1"/>
  <c r="M888" i="1"/>
  <c r="M887" i="1"/>
  <c r="M886" i="1"/>
  <c r="M885" i="1"/>
  <c r="M884" i="1"/>
  <c r="M883" i="1"/>
  <c r="M882" i="1"/>
  <c r="M881" i="1"/>
  <c r="M880" i="1"/>
  <c r="M879" i="1"/>
  <c r="M878" i="1"/>
  <c r="M877" i="1"/>
  <c r="M876" i="1"/>
  <c r="M875" i="1"/>
  <c r="M874" i="1"/>
  <c r="M873" i="1"/>
  <c r="M872" i="1"/>
  <c r="M871" i="1"/>
  <c r="M870" i="1"/>
  <c r="M869" i="1"/>
  <c r="M868" i="1"/>
  <c r="M867" i="1"/>
  <c r="M866" i="1"/>
  <c r="M865" i="1"/>
  <c r="M864" i="1"/>
  <c r="M863" i="1"/>
  <c r="M862" i="1"/>
  <c r="M861" i="1"/>
  <c r="M860" i="1"/>
  <c r="M859" i="1"/>
  <c r="M858" i="1"/>
  <c r="M857" i="1"/>
  <c r="M856" i="1"/>
  <c r="M855" i="1"/>
  <c r="M854" i="1"/>
  <c r="M853" i="1"/>
  <c r="M852" i="1"/>
  <c r="M851" i="1"/>
  <c r="M850" i="1"/>
  <c r="M849" i="1"/>
  <c r="M848" i="1"/>
  <c r="M847" i="1"/>
  <c r="M846" i="1"/>
  <c r="M845" i="1"/>
  <c r="M844" i="1"/>
  <c r="M843" i="1"/>
  <c r="M842" i="1"/>
  <c r="M841" i="1"/>
  <c r="M840" i="1"/>
  <c r="M839" i="1"/>
  <c r="M838" i="1"/>
  <c r="M837" i="1"/>
  <c r="M836" i="1"/>
  <c r="M835" i="1"/>
  <c r="M834" i="1"/>
  <c r="M833" i="1"/>
  <c r="M832" i="1"/>
  <c r="M831" i="1"/>
  <c r="M830" i="1"/>
  <c r="M829" i="1"/>
  <c r="M828" i="1"/>
  <c r="M827" i="1"/>
  <c r="M826" i="1"/>
  <c r="M825" i="1"/>
  <c r="M824" i="1"/>
  <c r="M823" i="1"/>
  <c r="M822" i="1"/>
  <c r="M821" i="1"/>
  <c r="M820" i="1"/>
  <c r="M819" i="1"/>
  <c r="M818" i="1"/>
  <c r="M817" i="1"/>
  <c r="M816" i="1"/>
  <c r="M815" i="1"/>
  <c r="M814" i="1"/>
  <c r="M813" i="1"/>
  <c r="M812" i="1"/>
  <c r="M811" i="1"/>
  <c r="M810" i="1"/>
  <c r="M809" i="1"/>
  <c r="M808" i="1"/>
  <c r="M807" i="1"/>
  <c r="M806" i="1"/>
  <c r="M805" i="1"/>
  <c r="M804" i="1"/>
  <c r="M803" i="1"/>
  <c r="M802" i="1"/>
  <c r="M801" i="1"/>
  <c r="M800" i="1"/>
  <c r="M799" i="1"/>
  <c r="M798" i="1"/>
  <c r="M797" i="1"/>
  <c r="M796" i="1"/>
  <c r="M795" i="1"/>
  <c r="M794" i="1"/>
  <c r="M793" i="1"/>
  <c r="M792" i="1"/>
  <c r="M791" i="1"/>
  <c r="M790" i="1"/>
  <c r="M789" i="1"/>
  <c r="M788" i="1"/>
  <c r="M787" i="1"/>
  <c r="M786" i="1"/>
  <c r="M785" i="1"/>
  <c r="M784" i="1"/>
  <c r="M783" i="1"/>
  <c r="M782" i="1"/>
  <c r="M781" i="1"/>
  <c r="M780" i="1"/>
  <c r="M779" i="1"/>
  <c r="M778" i="1"/>
  <c r="M777" i="1"/>
  <c r="M776" i="1"/>
  <c r="M775" i="1"/>
  <c r="M774" i="1"/>
  <c r="M773" i="1"/>
  <c r="M772" i="1"/>
  <c r="M771" i="1"/>
  <c r="M770" i="1"/>
  <c r="M769" i="1"/>
  <c r="M768" i="1"/>
  <c r="M767" i="1"/>
  <c r="M766" i="1"/>
  <c r="M765" i="1"/>
  <c r="M764" i="1"/>
  <c r="M763" i="1"/>
  <c r="M762" i="1"/>
  <c r="M761" i="1"/>
  <c r="M760" i="1"/>
  <c r="M759" i="1"/>
  <c r="M758" i="1"/>
  <c r="M757" i="1"/>
  <c r="M756" i="1"/>
  <c r="M755" i="1"/>
  <c r="M754" i="1"/>
  <c r="M753" i="1"/>
  <c r="M752" i="1"/>
  <c r="M751" i="1"/>
  <c r="M750" i="1"/>
  <c r="M749" i="1"/>
  <c r="M748" i="1"/>
  <c r="M747" i="1"/>
  <c r="M746" i="1"/>
  <c r="M745" i="1"/>
  <c r="M744" i="1"/>
  <c r="M743" i="1"/>
  <c r="M742" i="1"/>
  <c r="M741" i="1"/>
  <c r="M740" i="1"/>
  <c r="M739" i="1"/>
  <c r="M738" i="1"/>
  <c r="M737" i="1"/>
  <c r="M736" i="1"/>
  <c r="M735" i="1"/>
  <c r="M734" i="1"/>
  <c r="M733" i="1"/>
  <c r="M732" i="1"/>
  <c r="M731" i="1"/>
  <c r="M730" i="1"/>
  <c r="M729" i="1"/>
  <c r="M728" i="1"/>
  <c r="M727" i="1"/>
  <c r="M726" i="1"/>
  <c r="M725" i="1"/>
  <c r="M724" i="1"/>
  <c r="M723" i="1"/>
  <c r="M722" i="1"/>
  <c r="M721" i="1"/>
  <c r="M720" i="1"/>
  <c r="M719" i="1"/>
  <c r="M718" i="1"/>
  <c r="M717" i="1"/>
  <c r="M716" i="1"/>
  <c r="M715" i="1"/>
  <c r="M714" i="1"/>
  <c r="M713" i="1"/>
  <c r="M712" i="1"/>
  <c r="M711" i="1"/>
  <c r="M710" i="1"/>
  <c r="M709" i="1"/>
  <c r="M708" i="1"/>
  <c r="M707" i="1"/>
  <c r="M706" i="1"/>
  <c r="M705" i="1"/>
  <c r="M704" i="1"/>
  <c r="M703" i="1"/>
  <c r="M702" i="1"/>
  <c r="M701" i="1"/>
  <c r="M700" i="1"/>
  <c r="M699" i="1"/>
  <c r="M698" i="1"/>
  <c r="M697" i="1"/>
  <c r="M696" i="1"/>
  <c r="M695" i="1"/>
  <c r="M694" i="1"/>
  <c r="M693" i="1"/>
  <c r="M692" i="1"/>
  <c r="M691" i="1"/>
  <c r="M690" i="1"/>
  <c r="M689" i="1"/>
  <c r="M688" i="1"/>
  <c r="M687" i="1"/>
  <c r="M686" i="1"/>
  <c r="M685" i="1"/>
  <c r="M684" i="1"/>
  <c r="M683" i="1"/>
  <c r="M682" i="1"/>
  <c r="M681" i="1"/>
  <c r="M680" i="1"/>
  <c r="M679" i="1"/>
  <c r="M678" i="1"/>
  <c r="M677" i="1"/>
  <c r="M676" i="1"/>
  <c r="M675" i="1"/>
  <c r="M674" i="1"/>
  <c r="M673" i="1"/>
  <c r="M672" i="1"/>
  <c r="M671" i="1"/>
  <c r="M670" i="1"/>
  <c r="M669" i="1"/>
  <c r="M668" i="1"/>
  <c r="M667" i="1"/>
  <c r="M666" i="1"/>
  <c r="M665" i="1"/>
  <c r="M664" i="1"/>
  <c r="M663" i="1"/>
  <c r="M662" i="1"/>
  <c r="M661" i="1"/>
  <c r="M660" i="1"/>
  <c r="M659" i="1"/>
  <c r="M658" i="1"/>
  <c r="M657" i="1"/>
  <c r="M656" i="1"/>
  <c r="M655" i="1"/>
  <c r="M654" i="1"/>
  <c r="M653" i="1"/>
  <c r="M652" i="1"/>
  <c r="M651" i="1"/>
  <c r="M650" i="1"/>
  <c r="M649" i="1"/>
  <c r="M648" i="1"/>
  <c r="M647" i="1"/>
  <c r="M646" i="1"/>
  <c r="M645" i="1"/>
  <c r="M644" i="1"/>
  <c r="M643" i="1"/>
  <c r="M642" i="1"/>
  <c r="M641" i="1"/>
  <c r="M640" i="1"/>
  <c r="M639" i="1"/>
  <c r="M638" i="1"/>
  <c r="M637" i="1"/>
  <c r="M636" i="1"/>
  <c r="M635" i="1"/>
  <c r="M634" i="1"/>
  <c r="M633" i="1"/>
  <c r="M632" i="1"/>
  <c r="M631" i="1"/>
  <c r="M630" i="1"/>
  <c r="M629" i="1"/>
  <c r="M628" i="1"/>
  <c r="M627" i="1"/>
  <c r="M626" i="1"/>
  <c r="M625" i="1"/>
  <c r="M624" i="1"/>
  <c r="M623" i="1"/>
  <c r="M622" i="1"/>
  <c r="M621" i="1"/>
  <c r="M620" i="1"/>
  <c r="M619" i="1"/>
  <c r="M618" i="1"/>
  <c r="M617" i="1"/>
  <c r="M616" i="1"/>
  <c r="M615" i="1"/>
  <c r="M614" i="1"/>
  <c r="M613" i="1"/>
  <c r="M612" i="1"/>
  <c r="M611" i="1"/>
  <c r="M610" i="1"/>
  <c r="M609" i="1"/>
  <c r="M608" i="1"/>
  <c r="M607" i="1"/>
  <c r="M606" i="1"/>
  <c r="M605" i="1"/>
  <c r="M604" i="1"/>
  <c r="M603" i="1"/>
  <c r="M602" i="1"/>
  <c r="M601" i="1"/>
  <c r="M600" i="1"/>
  <c r="M599" i="1"/>
  <c r="M598" i="1"/>
  <c r="M597" i="1"/>
  <c r="M596" i="1"/>
  <c r="M595" i="1"/>
  <c r="M594" i="1"/>
  <c r="M593" i="1"/>
  <c r="M592" i="1"/>
  <c r="M591" i="1"/>
  <c r="M590" i="1"/>
  <c r="M589" i="1"/>
  <c r="M588" i="1"/>
  <c r="M587" i="1"/>
  <c r="M586" i="1"/>
  <c r="M585" i="1"/>
  <c r="M584" i="1"/>
  <c r="M583" i="1"/>
  <c r="M582" i="1"/>
  <c r="M581" i="1"/>
  <c r="M580" i="1"/>
  <c r="M579" i="1"/>
  <c r="M578" i="1"/>
  <c r="M577" i="1"/>
  <c r="M576" i="1"/>
  <c r="M575" i="1"/>
  <c r="M574" i="1"/>
  <c r="M573" i="1"/>
  <c r="M572" i="1"/>
  <c r="M571" i="1"/>
  <c r="M570" i="1"/>
  <c r="M569" i="1"/>
  <c r="M568" i="1"/>
  <c r="M567" i="1"/>
  <c r="M566" i="1"/>
  <c r="M565" i="1"/>
  <c r="M564" i="1"/>
  <c r="M563" i="1"/>
  <c r="M562" i="1"/>
  <c r="M561" i="1"/>
  <c r="M560" i="1"/>
  <c r="M559" i="1"/>
  <c r="M558" i="1"/>
  <c r="M557" i="1"/>
  <c r="M556" i="1"/>
  <c r="M555" i="1"/>
  <c r="M554" i="1"/>
  <c r="M553" i="1"/>
  <c r="M552" i="1"/>
  <c r="M551" i="1"/>
  <c r="M550" i="1"/>
  <c r="M549" i="1"/>
  <c r="M548" i="1"/>
  <c r="M547" i="1"/>
  <c r="M546" i="1"/>
  <c r="M545" i="1"/>
  <c r="M544" i="1"/>
  <c r="M543" i="1"/>
  <c r="M542" i="1"/>
  <c r="M541" i="1"/>
  <c r="M540" i="1"/>
  <c r="M539" i="1"/>
  <c r="M538" i="1"/>
  <c r="M537" i="1"/>
  <c r="M536" i="1"/>
  <c r="M535" i="1"/>
  <c r="M534" i="1"/>
  <c r="M533" i="1"/>
  <c r="M532" i="1"/>
  <c r="M531" i="1"/>
  <c r="M530" i="1"/>
  <c r="M529" i="1"/>
  <c r="M528" i="1"/>
  <c r="M527" i="1"/>
  <c r="M526" i="1"/>
  <c r="M525" i="1"/>
  <c r="M524" i="1"/>
  <c r="M523" i="1"/>
  <c r="M522" i="1"/>
  <c r="M521" i="1"/>
  <c r="M520" i="1"/>
  <c r="M519" i="1"/>
  <c r="M518" i="1"/>
  <c r="M517" i="1"/>
  <c r="M516" i="1"/>
  <c r="M515" i="1"/>
  <c r="M514" i="1"/>
  <c r="M513" i="1"/>
  <c r="M512" i="1"/>
  <c r="M511" i="1"/>
  <c r="M510" i="1"/>
  <c r="M509" i="1"/>
  <c r="M508" i="1"/>
  <c r="M507" i="1"/>
  <c r="M506" i="1"/>
  <c r="M505" i="1"/>
  <c r="M504" i="1"/>
  <c r="M503" i="1"/>
  <c r="M502" i="1"/>
  <c r="M501" i="1"/>
  <c r="M500" i="1"/>
  <c r="M499" i="1"/>
  <c r="M498" i="1"/>
  <c r="M497" i="1"/>
  <c r="M496" i="1"/>
  <c r="M495" i="1"/>
  <c r="M494" i="1"/>
  <c r="M493" i="1"/>
  <c r="M492" i="1"/>
  <c r="M491" i="1"/>
  <c r="M490" i="1"/>
  <c r="M489" i="1"/>
  <c r="M488" i="1"/>
  <c r="M487" i="1"/>
  <c r="M486" i="1"/>
  <c r="M485" i="1"/>
  <c r="M484" i="1"/>
  <c r="M483" i="1"/>
  <c r="M482" i="1"/>
  <c r="M481" i="1"/>
  <c r="M480" i="1"/>
  <c r="M479" i="1"/>
  <c r="M478" i="1"/>
  <c r="M477" i="1"/>
  <c r="M476" i="1"/>
  <c r="M475" i="1"/>
  <c r="M474" i="1"/>
  <c r="M473" i="1"/>
  <c r="M472" i="1"/>
  <c r="M471" i="1"/>
  <c r="M470" i="1"/>
  <c r="M469" i="1"/>
  <c r="M468" i="1"/>
  <c r="M467" i="1"/>
  <c r="M466" i="1"/>
  <c r="M465" i="1"/>
  <c r="M464" i="1"/>
  <c r="M463" i="1"/>
  <c r="M462" i="1"/>
  <c r="M461" i="1"/>
  <c r="M460" i="1"/>
  <c r="M459" i="1"/>
  <c r="M458" i="1"/>
  <c r="M457" i="1"/>
  <c r="M456" i="1"/>
  <c r="M455" i="1"/>
  <c r="M454" i="1"/>
  <c r="M453" i="1"/>
  <c r="M452" i="1"/>
  <c r="M451" i="1"/>
  <c r="M450" i="1"/>
  <c r="M449" i="1"/>
  <c r="M448" i="1"/>
  <c r="M447" i="1"/>
  <c r="M446" i="1"/>
  <c r="M445" i="1"/>
  <c r="M444" i="1"/>
  <c r="M443" i="1"/>
  <c r="M442" i="1"/>
  <c r="M441" i="1"/>
  <c r="M440" i="1"/>
  <c r="M439" i="1"/>
  <c r="M438" i="1"/>
  <c r="M437" i="1"/>
  <c r="M436" i="1"/>
  <c r="M435" i="1"/>
  <c r="M434" i="1"/>
  <c r="M433" i="1"/>
  <c r="M432" i="1"/>
  <c r="M431" i="1"/>
  <c r="M430" i="1"/>
  <c r="M429" i="1"/>
  <c r="M428" i="1"/>
  <c r="M427" i="1"/>
  <c r="M426" i="1"/>
  <c r="M425" i="1"/>
  <c r="M424" i="1"/>
  <c r="M423" i="1"/>
  <c r="M422" i="1"/>
  <c r="M421" i="1"/>
  <c r="M420" i="1"/>
  <c r="M419" i="1"/>
  <c r="M418" i="1"/>
  <c r="M417" i="1"/>
  <c r="M416" i="1"/>
  <c r="M415" i="1"/>
  <c r="M414" i="1"/>
  <c r="M413" i="1"/>
  <c r="M412" i="1"/>
  <c r="M411" i="1"/>
  <c r="M410" i="1"/>
  <c r="M409" i="1"/>
  <c r="M408" i="1"/>
  <c r="M407" i="1"/>
  <c r="M406" i="1"/>
  <c r="M405" i="1"/>
  <c r="M404" i="1"/>
  <c r="M403" i="1"/>
  <c r="M402" i="1"/>
  <c r="M401" i="1"/>
  <c r="M400" i="1"/>
  <c r="M399" i="1"/>
  <c r="M398" i="1"/>
  <c r="M397" i="1"/>
  <c r="M396" i="1"/>
  <c r="M395" i="1"/>
  <c r="M394" i="1"/>
  <c r="M393" i="1"/>
  <c r="M392" i="1"/>
  <c r="M391" i="1"/>
  <c r="M390" i="1"/>
  <c r="M389" i="1"/>
  <c r="M388" i="1"/>
  <c r="M387" i="1"/>
  <c r="M386" i="1"/>
  <c r="M385" i="1"/>
  <c r="M384" i="1"/>
  <c r="M383" i="1"/>
  <c r="M382" i="1"/>
  <c r="M381" i="1"/>
  <c r="M380" i="1"/>
  <c r="M379" i="1"/>
  <c r="M378" i="1"/>
  <c r="M377" i="1"/>
  <c r="M376" i="1"/>
  <c r="M375" i="1"/>
  <c r="M374" i="1"/>
  <c r="M373" i="1"/>
  <c r="M372" i="1"/>
  <c r="M371" i="1"/>
  <c r="M370" i="1"/>
  <c r="M369" i="1"/>
  <c r="M368" i="1"/>
  <c r="M367" i="1"/>
  <c r="M366" i="1"/>
  <c r="M365" i="1"/>
  <c r="M364" i="1"/>
  <c r="M363" i="1"/>
  <c r="M362" i="1"/>
  <c r="M361" i="1"/>
  <c r="M360" i="1"/>
  <c r="M359" i="1"/>
  <c r="M358" i="1"/>
  <c r="M357" i="1"/>
  <c r="M356" i="1"/>
  <c r="M355" i="1"/>
  <c r="M354" i="1"/>
  <c r="M353" i="1"/>
  <c r="M352" i="1"/>
  <c r="M351" i="1"/>
  <c r="M350" i="1"/>
  <c r="M349" i="1"/>
  <c r="M348" i="1"/>
  <c r="M347" i="1"/>
  <c r="M346" i="1"/>
  <c r="M345" i="1"/>
  <c r="M344" i="1"/>
  <c r="M343" i="1"/>
  <c r="M342" i="1"/>
  <c r="M341" i="1"/>
  <c r="M340" i="1"/>
  <c r="M339" i="1"/>
  <c r="M338" i="1"/>
  <c r="M337" i="1"/>
  <c r="M336" i="1"/>
  <c r="M335" i="1"/>
  <c r="M334" i="1"/>
  <c r="M333" i="1"/>
  <c r="M332" i="1"/>
  <c r="M331" i="1"/>
  <c r="M330" i="1"/>
  <c r="M329" i="1"/>
  <c r="M328" i="1"/>
  <c r="M327" i="1"/>
  <c r="M326" i="1"/>
  <c r="M325" i="1"/>
  <c r="M324" i="1"/>
  <c r="M323" i="1"/>
  <c r="M322" i="1"/>
  <c r="M321" i="1"/>
  <c r="M320" i="1"/>
  <c r="M319" i="1"/>
  <c r="M318" i="1"/>
  <c r="M317" i="1"/>
  <c r="M316" i="1"/>
  <c r="M315" i="1"/>
  <c r="M314" i="1"/>
  <c r="M313" i="1"/>
  <c r="M312" i="1"/>
  <c r="M311" i="1"/>
  <c r="M310" i="1"/>
  <c r="M309" i="1"/>
  <c r="M308" i="1"/>
  <c r="M307" i="1"/>
  <c r="M306" i="1"/>
  <c r="M305" i="1"/>
  <c r="M304" i="1"/>
  <c r="M303" i="1"/>
  <c r="M302" i="1"/>
  <c r="M301" i="1"/>
  <c r="M300" i="1"/>
  <c r="M299" i="1"/>
  <c r="M298" i="1"/>
  <c r="M297" i="1"/>
  <c r="M296" i="1"/>
  <c r="M295" i="1"/>
  <c r="M294" i="1"/>
  <c r="M293" i="1"/>
  <c r="M292" i="1"/>
  <c r="M291" i="1"/>
  <c r="M290" i="1"/>
  <c r="M289" i="1"/>
  <c r="M288" i="1"/>
  <c r="M287" i="1"/>
  <c r="M286" i="1"/>
  <c r="M285" i="1"/>
  <c r="M284" i="1"/>
  <c r="M283" i="1"/>
  <c r="M282" i="1"/>
  <c r="M281" i="1"/>
  <c r="M280" i="1"/>
  <c r="M279" i="1"/>
  <c r="M278" i="1"/>
  <c r="M277" i="1"/>
  <c r="M276" i="1"/>
  <c r="M275" i="1"/>
  <c r="M274" i="1"/>
  <c r="M273" i="1"/>
  <c r="M272" i="1"/>
  <c r="M271" i="1"/>
  <c r="M270" i="1"/>
  <c r="M269" i="1"/>
  <c r="M268" i="1"/>
  <c r="M267" i="1"/>
  <c r="M266" i="1"/>
  <c r="M265" i="1"/>
  <c r="M264" i="1"/>
  <c r="M263" i="1"/>
  <c r="M262" i="1"/>
  <c r="M261" i="1"/>
  <c r="M260" i="1"/>
  <c r="M259" i="1"/>
  <c r="M258" i="1"/>
  <c r="M257" i="1"/>
  <c r="M256" i="1"/>
  <c r="M255" i="1"/>
  <c r="M254" i="1"/>
  <c r="M253" i="1"/>
  <c r="M252" i="1"/>
  <c r="M251" i="1"/>
  <c r="M250" i="1"/>
  <c r="M249" i="1"/>
  <c r="M248" i="1"/>
  <c r="M247" i="1"/>
  <c r="M246" i="1"/>
  <c r="M245" i="1"/>
  <c r="M244" i="1"/>
  <c r="M243" i="1"/>
  <c r="M242" i="1"/>
  <c r="M241" i="1"/>
  <c r="M240" i="1"/>
  <c r="M239" i="1"/>
  <c r="M238" i="1"/>
  <c r="M237" i="1"/>
  <c r="M236" i="1"/>
  <c r="M235" i="1"/>
  <c r="M234" i="1"/>
  <c r="M233" i="1"/>
  <c r="M232" i="1"/>
  <c r="M231" i="1"/>
  <c r="M230" i="1"/>
  <c r="M229" i="1"/>
  <c r="M228" i="1"/>
  <c r="M227" i="1"/>
  <c r="M226" i="1"/>
  <c r="M225" i="1"/>
  <c r="M224" i="1"/>
  <c r="M223" i="1"/>
  <c r="M222" i="1"/>
  <c r="M221" i="1"/>
  <c r="M220" i="1"/>
  <c r="M219" i="1"/>
  <c r="M218" i="1"/>
  <c r="M217" i="1"/>
  <c r="M216" i="1"/>
  <c r="M215" i="1"/>
  <c r="M214" i="1"/>
  <c r="M213" i="1"/>
  <c r="M212" i="1"/>
  <c r="M211" i="1"/>
  <c r="M210" i="1"/>
  <c r="M209" i="1"/>
  <c r="M208" i="1"/>
  <c r="M207" i="1"/>
  <c r="M206" i="1"/>
  <c r="M205" i="1"/>
  <c r="M204" i="1"/>
  <c r="M203" i="1"/>
  <c r="M202" i="1"/>
  <c r="M201" i="1"/>
  <c r="M200" i="1"/>
  <c r="M199" i="1"/>
  <c r="M198" i="1"/>
  <c r="M197" i="1"/>
  <c r="M196" i="1"/>
  <c r="M195" i="1"/>
  <c r="M194" i="1"/>
  <c r="M193" i="1"/>
  <c r="M192" i="1"/>
  <c r="M191" i="1"/>
  <c r="M190" i="1"/>
  <c r="M189" i="1"/>
  <c r="M188" i="1"/>
  <c r="M187" i="1"/>
  <c r="M186" i="1"/>
  <c r="M185" i="1"/>
  <c r="M184" i="1"/>
  <c r="M183" i="1"/>
  <c r="M182" i="1"/>
  <c r="M181" i="1"/>
  <c r="M180" i="1"/>
  <c r="M179" i="1"/>
  <c r="M178" i="1"/>
  <c r="M177" i="1"/>
  <c r="M176" i="1"/>
  <c r="M175" i="1"/>
  <c r="M174" i="1"/>
  <c r="M173" i="1"/>
  <c r="M172" i="1"/>
  <c r="M171" i="1"/>
  <c r="M170" i="1"/>
  <c r="M169" i="1"/>
  <c r="M168" i="1"/>
  <c r="M167" i="1"/>
  <c r="M166" i="1"/>
  <c r="M165" i="1"/>
  <c r="M164" i="1"/>
  <c r="M163" i="1"/>
  <c r="M162" i="1"/>
  <c r="M161" i="1"/>
  <c r="M160" i="1"/>
  <c r="M159" i="1"/>
  <c r="M158" i="1"/>
  <c r="M157" i="1"/>
  <c r="M156" i="1"/>
  <c r="M155" i="1"/>
  <c r="M154" i="1"/>
  <c r="M153" i="1"/>
  <c r="M152" i="1"/>
  <c r="M151" i="1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M3" i="1"/>
  <c r="M2" i="1"/>
  <c r="L1001" i="1"/>
  <c r="L1000" i="1"/>
  <c r="L999" i="1"/>
  <c r="L998" i="1"/>
  <c r="L997" i="1"/>
  <c r="L996" i="1"/>
  <c r="L995" i="1"/>
  <c r="L994" i="1"/>
  <c r="L993" i="1"/>
  <c r="L992" i="1"/>
  <c r="L991" i="1"/>
  <c r="L990" i="1"/>
  <c r="L989" i="1"/>
  <c r="L988" i="1"/>
  <c r="L987" i="1"/>
  <c r="L986" i="1"/>
  <c r="L985" i="1"/>
  <c r="L984" i="1"/>
  <c r="L983" i="1"/>
  <c r="L982" i="1"/>
  <c r="L981" i="1"/>
  <c r="L980" i="1"/>
  <c r="L979" i="1"/>
  <c r="L978" i="1"/>
  <c r="L977" i="1"/>
  <c r="L976" i="1"/>
  <c r="L975" i="1"/>
  <c r="L974" i="1"/>
  <c r="L973" i="1"/>
  <c r="L972" i="1"/>
  <c r="L971" i="1"/>
  <c r="L970" i="1"/>
  <c r="L969" i="1"/>
  <c r="L968" i="1"/>
  <c r="L967" i="1"/>
  <c r="L966" i="1"/>
  <c r="L965" i="1"/>
  <c r="L964" i="1"/>
  <c r="L963" i="1"/>
  <c r="L962" i="1"/>
  <c r="L961" i="1"/>
  <c r="L960" i="1"/>
  <c r="L959" i="1"/>
  <c r="L958" i="1"/>
  <c r="L957" i="1"/>
  <c r="L956" i="1"/>
  <c r="L955" i="1"/>
  <c r="L954" i="1"/>
  <c r="L953" i="1"/>
  <c r="L952" i="1"/>
  <c r="L951" i="1"/>
  <c r="L950" i="1"/>
  <c r="L949" i="1"/>
  <c r="L948" i="1"/>
  <c r="L947" i="1"/>
  <c r="L946" i="1"/>
  <c r="L945" i="1"/>
  <c r="L944" i="1"/>
  <c r="L943" i="1"/>
  <c r="L942" i="1"/>
  <c r="L941" i="1"/>
  <c r="L940" i="1"/>
  <c r="L939" i="1"/>
  <c r="L938" i="1"/>
  <c r="L937" i="1"/>
  <c r="L936" i="1"/>
  <c r="L935" i="1"/>
  <c r="L934" i="1"/>
  <c r="L933" i="1"/>
  <c r="L932" i="1"/>
  <c r="L931" i="1"/>
  <c r="L930" i="1"/>
  <c r="L929" i="1"/>
  <c r="L928" i="1"/>
  <c r="L927" i="1"/>
  <c r="L926" i="1"/>
  <c r="L925" i="1"/>
  <c r="L924" i="1"/>
  <c r="L923" i="1"/>
  <c r="L922" i="1"/>
  <c r="L921" i="1"/>
  <c r="L920" i="1"/>
  <c r="L919" i="1"/>
  <c r="L918" i="1"/>
  <c r="L917" i="1"/>
  <c r="L916" i="1"/>
  <c r="L915" i="1"/>
  <c r="L914" i="1"/>
  <c r="L913" i="1"/>
  <c r="L912" i="1"/>
  <c r="L911" i="1"/>
  <c r="L910" i="1"/>
  <c r="L909" i="1"/>
  <c r="L908" i="1"/>
  <c r="L907" i="1"/>
  <c r="L906" i="1"/>
  <c r="L905" i="1"/>
  <c r="L904" i="1"/>
  <c r="L903" i="1"/>
  <c r="L902" i="1"/>
  <c r="L901" i="1"/>
  <c r="L900" i="1"/>
  <c r="L899" i="1"/>
  <c r="L898" i="1"/>
  <c r="L897" i="1"/>
  <c r="L896" i="1"/>
  <c r="L895" i="1"/>
  <c r="L894" i="1"/>
  <c r="L893" i="1"/>
  <c r="L892" i="1"/>
  <c r="L891" i="1"/>
  <c r="L890" i="1"/>
  <c r="L889" i="1"/>
  <c r="L888" i="1"/>
  <c r="L887" i="1"/>
  <c r="L886" i="1"/>
  <c r="L885" i="1"/>
  <c r="L884" i="1"/>
  <c r="L883" i="1"/>
  <c r="L882" i="1"/>
  <c r="L881" i="1"/>
  <c r="L880" i="1"/>
  <c r="L879" i="1"/>
  <c r="L878" i="1"/>
  <c r="L877" i="1"/>
  <c r="L876" i="1"/>
  <c r="L875" i="1"/>
  <c r="L874" i="1"/>
  <c r="L873" i="1"/>
  <c r="L872" i="1"/>
  <c r="L871" i="1"/>
  <c r="L870" i="1"/>
  <c r="L869" i="1"/>
  <c r="L868" i="1"/>
  <c r="L867" i="1"/>
  <c r="L866" i="1"/>
  <c r="L865" i="1"/>
  <c r="L864" i="1"/>
  <c r="L863" i="1"/>
  <c r="L862" i="1"/>
  <c r="L861" i="1"/>
  <c r="L860" i="1"/>
  <c r="L859" i="1"/>
  <c r="L858" i="1"/>
  <c r="L857" i="1"/>
  <c r="L856" i="1"/>
  <c r="L855" i="1"/>
  <c r="L854" i="1"/>
  <c r="L853" i="1"/>
  <c r="L852" i="1"/>
  <c r="L851" i="1"/>
  <c r="L850" i="1"/>
  <c r="L849" i="1"/>
  <c r="L848" i="1"/>
  <c r="L847" i="1"/>
  <c r="L846" i="1"/>
  <c r="L845" i="1"/>
  <c r="L844" i="1"/>
  <c r="L843" i="1"/>
  <c r="L842" i="1"/>
  <c r="L841" i="1"/>
  <c r="L840" i="1"/>
  <c r="L839" i="1"/>
  <c r="L838" i="1"/>
  <c r="L837" i="1"/>
  <c r="L836" i="1"/>
  <c r="L835" i="1"/>
  <c r="L834" i="1"/>
  <c r="L833" i="1"/>
  <c r="L832" i="1"/>
  <c r="L831" i="1"/>
  <c r="L830" i="1"/>
  <c r="L829" i="1"/>
  <c r="L828" i="1"/>
  <c r="L827" i="1"/>
  <c r="L826" i="1"/>
  <c r="L825" i="1"/>
  <c r="L824" i="1"/>
  <c r="L823" i="1"/>
  <c r="L822" i="1"/>
  <c r="L821" i="1"/>
  <c r="L820" i="1"/>
  <c r="L819" i="1"/>
  <c r="L818" i="1"/>
  <c r="L817" i="1"/>
  <c r="L816" i="1"/>
  <c r="L815" i="1"/>
  <c r="L814" i="1"/>
  <c r="L813" i="1"/>
  <c r="L812" i="1"/>
  <c r="L811" i="1"/>
  <c r="L810" i="1"/>
  <c r="L809" i="1"/>
  <c r="L808" i="1"/>
  <c r="L807" i="1"/>
  <c r="L806" i="1"/>
  <c r="L805" i="1"/>
  <c r="L804" i="1"/>
  <c r="L803" i="1"/>
  <c r="L802" i="1"/>
  <c r="L801" i="1"/>
  <c r="L800" i="1"/>
  <c r="L799" i="1"/>
  <c r="L798" i="1"/>
  <c r="L797" i="1"/>
  <c r="L796" i="1"/>
  <c r="L795" i="1"/>
  <c r="L794" i="1"/>
  <c r="L793" i="1"/>
  <c r="L792" i="1"/>
  <c r="L791" i="1"/>
  <c r="L790" i="1"/>
  <c r="L789" i="1"/>
  <c r="L788" i="1"/>
  <c r="L787" i="1"/>
  <c r="L786" i="1"/>
  <c r="L785" i="1"/>
  <c r="L784" i="1"/>
  <c r="L783" i="1"/>
  <c r="L782" i="1"/>
  <c r="L781" i="1"/>
  <c r="L780" i="1"/>
  <c r="L779" i="1"/>
  <c r="L778" i="1"/>
  <c r="L777" i="1"/>
  <c r="L776" i="1"/>
  <c r="L775" i="1"/>
  <c r="L774" i="1"/>
  <c r="L773" i="1"/>
  <c r="L772" i="1"/>
  <c r="L771" i="1"/>
  <c r="L770" i="1"/>
  <c r="L769" i="1"/>
  <c r="L768" i="1"/>
  <c r="L767" i="1"/>
  <c r="L766" i="1"/>
  <c r="L765" i="1"/>
  <c r="L764" i="1"/>
  <c r="L763" i="1"/>
  <c r="L762" i="1"/>
  <c r="L761" i="1"/>
  <c r="L760" i="1"/>
  <c r="L759" i="1"/>
  <c r="L758" i="1"/>
  <c r="L757" i="1"/>
  <c r="L756" i="1"/>
  <c r="L755" i="1"/>
  <c r="L754" i="1"/>
  <c r="L753" i="1"/>
  <c r="L752" i="1"/>
  <c r="L751" i="1"/>
  <c r="L750" i="1"/>
  <c r="L749" i="1"/>
  <c r="L748" i="1"/>
  <c r="L747" i="1"/>
  <c r="L746" i="1"/>
  <c r="L745" i="1"/>
  <c r="L744" i="1"/>
  <c r="L743" i="1"/>
  <c r="L742" i="1"/>
  <c r="L741" i="1"/>
  <c r="L740" i="1"/>
  <c r="L739" i="1"/>
  <c r="L738" i="1"/>
  <c r="L737" i="1"/>
  <c r="L736" i="1"/>
  <c r="L735" i="1"/>
  <c r="L734" i="1"/>
  <c r="L733" i="1"/>
  <c r="L732" i="1"/>
  <c r="L731" i="1"/>
  <c r="L730" i="1"/>
  <c r="L729" i="1"/>
  <c r="L728" i="1"/>
  <c r="L727" i="1"/>
  <c r="L726" i="1"/>
  <c r="L725" i="1"/>
  <c r="L724" i="1"/>
  <c r="L723" i="1"/>
  <c r="L722" i="1"/>
  <c r="L721" i="1"/>
  <c r="L720" i="1"/>
  <c r="L719" i="1"/>
  <c r="L718" i="1"/>
  <c r="L717" i="1"/>
  <c r="L716" i="1"/>
  <c r="L715" i="1"/>
  <c r="L714" i="1"/>
  <c r="L713" i="1"/>
  <c r="L712" i="1"/>
  <c r="L711" i="1"/>
  <c r="L710" i="1"/>
  <c r="L709" i="1"/>
  <c r="L708" i="1"/>
  <c r="L707" i="1"/>
  <c r="L706" i="1"/>
  <c r="L705" i="1"/>
  <c r="L704" i="1"/>
  <c r="L703" i="1"/>
  <c r="L702" i="1"/>
  <c r="L701" i="1"/>
  <c r="L700" i="1"/>
  <c r="L699" i="1"/>
  <c r="L698" i="1"/>
  <c r="L697" i="1"/>
  <c r="L696" i="1"/>
  <c r="L695" i="1"/>
  <c r="L694" i="1"/>
  <c r="L693" i="1"/>
  <c r="L692" i="1"/>
  <c r="L691" i="1"/>
  <c r="L690" i="1"/>
  <c r="L689" i="1"/>
  <c r="L688" i="1"/>
  <c r="L687" i="1"/>
  <c r="L686" i="1"/>
  <c r="L685" i="1"/>
  <c r="L684" i="1"/>
  <c r="L683" i="1"/>
  <c r="L682" i="1"/>
  <c r="L681" i="1"/>
  <c r="L680" i="1"/>
  <c r="L679" i="1"/>
  <c r="L678" i="1"/>
  <c r="L677" i="1"/>
  <c r="L676" i="1"/>
  <c r="L675" i="1"/>
  <c r="L674" i="1"/>
  <c r="L673" i="1"/>
  <c r="L672" i="1"/>
  <c r="L671" i="1"/>
  <c r="L670" i="1"/>
  <c r="L669" i="1"/>
  <c r="L668" i="1"/>
  <c r="L667" i="1"/>
  <c r="L666" i="1"/>
  <c r="L665" i="1"/>
  <c r="L664" i="1"/>
  <c r="L663" i="1"/>
  <c r="L662" i="1"/>
  <c r="L661" i="1"/>
  <c r="L660" i="1"/>
  <c r="L659" i="1"/>
  <c r="L658" i="1"/>
  <c r="L657" i="1"/>
  <c r="L656" i="1"/>
  <c r="L655" i="1"/>
  <c r="L654" i="1"/>
  <c r="L653" i="1"/>
  <c r="L652" i="1"/>
  <c r="L651" i="1"/>
  <c r="L650" i="1"/>
  <c r="L649" i="1"/>
  <c r="L648" i="1"/>
  <c r="L647" i="1"/>
  <c r="L646" i="1"/>
  <c r="L645" i="1"/>
  <c r="L644" i="1"/>
  <c r="L643" i="1"/>
  <c r="L642" i="1"/>
  <c r="L641" i="1"/>
  <c r="L640" i="1"/>
  <c r="L639" i="1"/>
  <c r="L638" i="1"/>
  <c r="L637" i="1"/>
  <c r="L636" i="1"/>
  <c r="L635" i="1"/>
  <c r="L634" i="1"/>
  <c r="L633" i="1"/>
  <c r="L632" i="1"/>
  <c r="L631" i="1"/>
  <c r="L630" i="1"/>
  <c r="L629" i="1"/>
  <c r="L628" i="1"/>
  <c r="L627" i="1"/>
  <c r="L626" i="1"/>
  <c r="L625" i="1"/>
  <c r="L624" i="1"/>
  <c r="L623" i="1"/>
  <c r="L622" i="1"/>
  <c r="L621" i="1"/>
  <c r="L620" i="1"/>
  <c r="L619" i="1"/>
  <c r="L618" i="1"/>
  <c r="L617" i="1"/>
  <c r="L616" i="1"/>
  <c r="L615" i="1"/>
  <c r="L614" i="1"/>
  <c r="L613" i="1"/>
  <c r="L612" i="1"/>
  <c r="L611" i="1"/>
  <c r="L610" i="1"/>
  <c r="L609" i="1"/>
  <c r="L608" i="1"/>
  <c r="L607" i="1"/>
  <c r="L606" i="1"/>
  <c r="L605" i="1"/>
  <c r="L604" i="1"/>
  <c r="L603" i="1"/>
  <c r="L602" i="1"/>
  <c r="L601" i="1"/>
  <c r="L600" i="1"/>
  <c r="L599" i="1"/>
  <c r="L598" i="1"/>
  <c r="L597" i="1"/>
  <c r="L596" i="1"/>
  <c r="L595" i="1"/>
  <c r="L594" i="1"/>
  <c r="L593" i="1"/>
  <c r="L592" i="1"/>
  <c r="L591" i="1"/>
  <c r="L590" i="1"/>
  <c r="L589" i="1"/>
  <c r="L588" i="1"/>
  <c r="L587" i="1"/>
  <c r="L586" i="1"/>
  <c r="L585" i="1"/>
  <c r="L584" i="1"/>
  <c r="L583" i="1"/>
  <c r="L582" i="1"/>
  <c r="L581" i="1"/>
  <c r="L580" i="1"/>
  <c r="L579" i="1"/>
  <c r="L578" i="1"/>
  <c r="L577" i="1"/>
  <c r="L576" i="1"/>
  <c r="L575" i="1"/>
  <c r="L574" i="1"/>
  <c r="L573" i="1"/>
  <c r="L572" i="1"/>
  <c r="L571" i="1"/>
  <c r="L570" i="1"/>
  <c r="L569" i="1"/>
  <c r="L568" i="1"/>
  <c r="L567" i="1"/>
  <c r="L566" i="1"/>
  <c r="L565" i="1"/>
  <c r="L564" i="1"/>
  <c r="L563" i="1"/>
  <c r="L562" i="1"/>
  <c r="L561" i="1"/>
  <c r="L560" i="1"/>
  <c r="L559" i="1"/>
  <c r="L558" i="1"/>
  <c r="L557" i="1"/>
  <c r="L556" i="1"/>
  <c r="L555" i="1"/>
  <c r="L554" i="1"/>
  <c r="L553" i="1"/>
  <c r="L552" i="1"/>
  <c r="L551" i="1"/>
  <c r="L550" i="1"/>
  <c r="L549" i="1"/>
  <c r="L548" i="1"/>
  <c r="L547" i="1"/>
  <c r="L546" i="1"/>
  <c r="L545" i="1"/>
  <c r="L544" i="1"/>
  <c r="L543" i="1"/>
  <c r="L542" i="1"/>
  <c r="L541" i="1"/>
  <c r="L540" i="1"/>
  <c r="L539" i="1"/>
  <c r="L538" i="1"/>
  <c r="L537" i="1"/>
  <c r="L536" i="1"/>
  <c r="L535" i="1"/>
  <c r="L534" i="1"/>
  <c r="L533" i="1"/>
  <c r="L532" i="1"/>
  <c r="L531" i="1"/>
  <c r="L530" i="1"/>
  <c r="L529" i="1"/>
  <c r="L528" i="1"/>
  <c r="L527" i="1"/>
  <c r="L526" i="1"/>
  <c r="L525" i="1"/>
  <c r="L524" i="1"/>
  <c r="L523" i="1"/>
  <c r="L522" i="1"/>
  <c r="L521" i="1"/>
  <c r="L520" i="1"/>
  <c r="L519" i="1"/>
  <c r="L518" i="1"/>
  <c r="L517" i="1"/>
  <c r="L516" i="1"/>
  <c r="L515" i="1"/>
  <c r="L514" i="1"/>
  <c r="L513" i="1"/>
  <c r="L512" i="1"/>
  <c r="L511" i="1"/>
  <c r="L510" i="1"/>
  <c r="L509" i="1"/>
  <c r="L508" i="1"/>
  <c r="L507" i="1"/>
  <c r="L506" i="1"/>
  <c r="L505" i="1"/>
  <c r="L504" i="1"/>
  <c r="L503" i="1"/>
  <c r="L502" i="1"/>
  <c r="L501" i="1"/>
  <c r="L500" i="1"/>
  <c r="L499" i="1"/>
  <c r="L498" i="1"/>
  <c r="L497" i="1"/>
  <c r="L496" i="1"/>
  <c r="L495" i="1"/>
  <c r="L494" i="1"/>
  <c r="L493" i="1"/>
  <c r="L492" i="1"/>
  <c r="L491" i="1"/>
  <c r="L490" i="1"/>
  <c r="L489" i="1"/>
  <c r="L488" i="1"/>
  <c r="L487" i="1"/>
  <c r="L486" i="1"/>
  <c r="L485" i="1"/>
  <c r="L484" i="1"/>
  <c r="L483" i="1"/>
  <c r="L482" i="1"/>
  <c r="L481" i="1"/>
  <c r="L480" i="1"/>
  <c r="L479" i="1"/>
  <c r="L478" i="1"/>
  <c r="L477" i="1"/>
  <c r="L476" i="1"/>
  <c r="L475" i="1"/>
  <c r="L474" i="1"/>
  <c r="L473" i="1"/>
  <c r="L472" i="1"/>
  <c r="L471" i="1"/>
  <c r="L470" i="1"/>
  <c r="L469" i="1"/>
  <c r="L468" i="1"/>
  <c r="L467" i="1"/>
  <c r="L466" i="1"/>
  <c r="L465" i="1"/>
  <c r="L464" i="1"/>
  <c r="L463" i="1"/>
  <c r="L462" i="1"/>
  <c r="L461" i="1"/>
  <c r="L460" i="1"/>
  <c r="L459" i="1"/>
  <c r="L458" i="1"/>
  <c r="L457" i="1"/>
  <c r="L456" i="1"/>
  <c r="L455" i="1"/>
  <c r="L454" i="1"/>
  <c r="L453" i="1"/>
  <c r="L452" i="1"/>
  <c r="L451" i="1"/>
  <c r="L450" i="1"/>
  <c r="L449" i="1"/>
  <c r="L448" i="1"/>
  <c r="L447" i="1"/>
  <c r="L446" i="1"/>
  <c r="L445" i="1"/>
  <c r="L444" i="1"/>
  <c r="L443" i="1"/>
  <c r="L442" i="1"/>
  <c r="L441" i="1"/>
  <c r="L440" i="1"/>
  <c r="L439" i="1"/>
  <c r="L438" i="1"/>
  <c r="L437" i="1"/>
  <c r="L436" i="1"/>
  <c r="L435" i="1"/>
  <c r="L434" i="1"/>
  <c r="L433" i="1"/>
  <c r="L432" i="1"/>
  <c r="L431" i="1"/>
  <c r="L430" i="1"/>
  <c r="L429" i="1"/>
  <c r="L428" i="1"/>
  <c r="L427" i="1"/>
  <c r="L426" i="1"/>
  <c r="L425" i="1"/>
  <c r="L424" i="1"/>
  <c r="L423" i="1"/>
  <c r="L422" i="1"/>
  <c r="L421" i="1"/>
  <c r="L420" i="1"/>
  <c r="L419" i="1"/>
  <c r="L418" i="1"/>
  <c r="L417" i="1"/>
  <c r="L416" i="1"/>
  <c r="L415" i="1"/>
  <c r="L414" i="1"/>
  <c r="L413" i="1"/>
  <c r="L412" i="1"/>
  <c r="L411" i="1"/>
  <c r="L410" i="1"/>
  <c r="L409" i="1"/>
  <c r="L408" i="1"/>
  <c r="L407" i="1"/>
  <c r="L406" i="1"/>
  <c r="L405" i="1"/>
  <c r="L404" i="1"/>
  <c r="L403" i="1"/>
  <c r="L402" i="1"/>
  <c r="L401" i="1"/>
  <c r="L400" i="1"/>
  <c r="L399" i="1"/>
  <c r="L398" i="1"/>
  <c r="L397" i="1"/>
  <c r="L396" i="1"/>
  <c r="L395" i="1"/>
  <c r="L394" i="1"/>
  <c r="L393" i="1"/>
  <c r="L392" i="1"/>
  <c r="L391" i="1"/>
  <c r="L390" i="1"/>
  <c r="L389" i="1"/>
  <c r="L388" i="1"/>
  <c r="L387" i="1"/>
  <c r="L386" i="1"/>
  <c r="L385" i="1"/>
  <c r="L384" i="1"/>
  <c r="L383" i="1"/>
  <c r="L382" i="1"/>
  <c r="L381" i="1"/>
  <c r="L380" i="1"/>
  <c r="L379" i="1"/>
  <c r="L378" i="1"/>
  <c r="L377" i="1"/>
  <c r="L376" i="1"/>
  <c r="L375" i="1"/>
  <c r="L374" i="1"/>
  <c r="L373" i="1"/>
  <c r="L372" i="1"/>
  <c r="L371" i="1"/>
  <c r="L370" i="1"/>
  <c r="L369" i="1"/>
  <c r="L368" i="1"/>
  <c r="L367" i="1"/>
  <c r="L366" i="1"/>
  <c r="L365" i="1"/>
  <c r="L364" i="1"/>
  <c r="L363" i="1"/>
  <c r="L362" i="1"/>
  <c r="L361" i="1"/>
  <c r="L360" i="1"/>
  <c r="L359" i="1"/>
  <c r="L358" i="1"/>
  <c r="L357" i="1"/>
  <c r="L356" i="1"/>
  <c r="L355" i="1"/>
  <c r="L354" i="1"/>
  <c r="L353" i="1"/>
  <c r="L352" i="1"/>
  <c r="L351" i="1"/>
  <c r="L350" i="1"/>
  <c r="L349" i="1"/>
  <c r="L348" i="1"/>
  <c r="L347" i="1"/>
  <c r="L346" i="1"/>
  <c r="L345" i="1"/>
  <c r="L344" i="1"/>
  <c r="L343" i="1"/>
  <c r="L342" i="1"/>
  <c r="L341" i="1"/>
  <c r="L340" i="1"/>
  <c r="L339" i="1"/>
  <c r="L338" i="1"/>
  <c r="L337" i="1"/>
  <c r="L336" i="1"/>
  <c r="L335" i="1"/>
  <c r="L334" i="1"/>
  <c r="L333" i="1"/>
  <c r="L332" i="1"/>
  <c r="L331" i="1"/>
  <c r="L330" i="1"/>
  <c r="L329" i="1"/>
  <c r="L328" i="1"/>
  <c r="L327" i="1"/>
  <c r="L326" i="1"/>
  <c r="L325" i="1"/>
  <c r="L324" i="1"/>
  <c r="L323" i="1"/>
  <c r="L322" i="1"/>
  <c r="L321" i="1"/>
  <c r="L320" i="1"/>
  <c r="L319" i="1"/>
  <c r="L318" i="1"/>
  <c r="L317" i="1"/>
  <c r="L316" i="1"/>
  <c r="L315" i="1"/>
  <c r="L314" i="1"/>
  <c r="L313" i="1"/>
  <c r="L312" i="1"/>
  <c r="L311" i="1"/>
  <c r="L310" i="1"/>
  <c r="L309" i="1"/>
  <c r="L308" i="1"/>
  <c r="L307" i="1"/>
  <c r="L306" i="1"/>
  <c r="L305" i="1"/>
  <c r="L304" i="1"/>
  <c r="L303" i="1"/>
  <c r="L302" i="1"/>
  <c r="L301" i="1"/>
  <c r="L300" i="1"/>
  <c r="L299" i="1"/>
  <c r="L298" i="1"/>
  <c r="L297" i="1"/>
  <c r="L296" i="1"/>
  <c r="L295" i="1"/>
  <c r="L294" i="1"/>
  <c r="L293" i="1"/>
  <c r="L292" i="1"/>
  <c r="L291" i="1"/>
  <c r="L290" i="1"/>
  <c r="L289" i="1"/>
  <c r="L288" i="1"/>
  <c r="L287" i="1"/>
  <c r="L286" i="1"/>
  <c r="L285" i="1"/>
  <c r="L284" i="1"/>
  <c r="L283" i="1"/>
  <c r="L282" i="1"/>
  <c r="L281" i="1"/>
  <c r="L280" i="1"/>
  <c r="L279" i="1"/>
  <c r="L278" i="1"/>
  <c r="L277" i="1"/>
  <c r="L276" i="1"/>
  <c r="L275" i="1"/>
  <c r="L274" i="1"/>
  <c r="L273" i="1"/>
  <c r="L272" i="1"/>
  <c r="L271" i="1"/>
  <c r="L270" i="1"/>
  <c r="L269" i="1"/>
  <c r="L268" i="1"/>
  <c r="L267" i="1"/>
  <c r="L266" i="1"/>
  <c r="L265" i="1"/>
  <c r="L264" i="1"/>
  <c r="L263" i="1"/>
  <c r="L262" i="1"/>
  <c r="L261" i="1"/>
  <c r="L260" i="1"/>
  <c r="L259" i="1"/>
  <c r="L258" i="1"/>
  <c r="L257" i="1"/>
  <c r="L256" i="1"/>
  <c r="L255" i="1"/>
  <c r="L254" i="1"/>
  <c r="L253" i="1"/>
  <c r="L252" i="1"/>
  <c r="L251" i="1"/>
  <c r="L250" i="1"/>
  <c r="L249" i="1"/>
  <c r="L248" i="1"/>
  <c r="L247" i="1"/>
  <c r="L246" i="1"/>
  <c r="L245" i="1"/>
  <c r="L244" i="1"/>
  <c r="L243" i="1"/>
  <c r="L242" i="1"/>
  <c r="L241" i="1"/>
  <c r="L240" i="1"/>
  <c r="L239" i="1"/>
  <c r="L238" i="1"/>
  <c r="L237" i="1"/>
  <c r="L236" i="1"/>
  <c r="L235" i="1"/>
  <c r="L234" i="1"/>
  <c r="L233" i="1"/>
  <c r="L232" i="1"/>
  <c r="L231" i="1"/>
  <c r="L230" i="1"/>
  <c r="L229" i="1"/>
  <c r="L228" i="1"/>
  <c r="L227" i="1"/>
  <c r="L226" i="1"/>
  <c r="L225" i="1"/>
  <c r="L224" i="1"/>
  <c r="L223" i="1"/>
  <c r="L222" i="1"/>
  <c r="L221" i="1"/>
  <c r="L220" i="1"/>
  <c r="L219" i="1"/>
  <c r="L218" i="1"/>
  <c r="L217" i="1"/>
  <c r="L216" i="1"/>
  <c r="L215" i="1"/>
  <c r="L214" i="1"/>
  <c r="L213" i="1"/>
  <c r="L212" i="1"/>
  <c r="L211" i="1"/>
  <c r="L210" i="1"/>
  <c r="L209" i="1"/>
  <c r="L208" i="1"/>
  <c r="L207" i="1"/>
  <c r="L206" i="1"/>
  <c r="L205" i="1"/>
  <c r="L204" i="1"/>
  <c r="L203" i="1"/>
  <c r="L202" i="1"/>
  <c r="L201" i="1"/>
  <c r="L200" i="1"/>
  <c r="L199" i="1"/>
  <c r="L198" i="1"/>
  <c r="L197" i="1"/>
  <c r="L196" i="1"/>
  <c r="L195" i="1"/>
  <c r="L194" i="1"/>
  <c r="L193" i="1"/>
  <c r="L192" i="1"/>
  <c r="L191" i="1"/>
  <c r="L190" i="1"/>
  <c r="L189" i="1"/>
  <c r="L188" i="1"/>
  <c r="L187" i="1"/>
  <c r="L186" i="1"/>
  <c r="L185" i="1"/>
  <c r="L184" i="1"/>
  <c r="L183" i="1"/>
  <c r="L182" i="1"/>
  <c r="L181" i="1"/>
  <c r="L180" i="1"/>
  <c r="L179" i="1"/>
  <c r="L178" i="1"/>
  <c r="L177" i="1"/>
  <c r="L176" i="1"/>
  <c r="L175" i="1"/>
  <c r="L174" i="1"/>
  <c r="L173" i="1"/>
  <c r="L172" i="1"/>
  <c r="L171" i="1"/>
  <c r="L170" i="1"/>
  <c r="L169" i="1"/>
  <c r="L168" i="1"/>
  <c r="L167" i="1"/>
  <c r="L166" i="1"/>
  <c r="L165" i="1"/>
  <c r="L164" i="1"/>
  <c r="L163" i="1"/>
  <c r="L162" i="1"/>
  <c r="L161" i="1"/>
  <c r="L160" i="1"/>
  <c r="L159" i="1"/>
  <c r="L158" i="1"/>
  <c r="L157" i="1"/>
  <c r="L156" i="1"/>
  <c r="L155" i="1"/>
  <c r="L154" i="1"/>
  <c r="L153" i="1"/>
  <c r="L152" i="1"/>
  <c r="L151" i="1"/>
  <c r="L150" i="1"/>
  <c r="L149" i="1"/>
  <c r="L148" i="1"/>
  <c r="L147" i="1"/>
  <c r="L146" i="1"/>
  <c r="L145" i="1"/>
  <c r="L144" i="1"/>
  <c r="L143" i="1"/>
  <c r="L142" i="1"/>
  <c r="L141" i="1"/>
  <c r="L140" i="1"/>
  <c r="L139" i="1"/>
  <c r="L138" i="1"/>
  <c r="L137" i="1"/>
  <c r="L136" i="1"/>
  <c r="L135" i="1"/>
  <c r="L134" i="1"/>
  <c r="L133" i="1"/>
  <c r="L132" i="1"/>
  <c r="L131" i="1"/>
  <c r="L130" i="1"/>
  <c r="L129" i="1"/>
  <c r="L128" i="1"/>
  <c r="L127" i="1"/>
  <c r="L126" i="1"/>
  <c r="L125" i="1"/>
  <c r="L124" i="1"/>
  <c r="L123" i="1"/>
  <c r="L122" i="1"/>
  <c r="L121" i="1"/>
  <c r="L120" i="1"/>
  <c r="L119" i="1"/>
  <c r="L118" i="1"/>
  <c r="L117" i="1"/>
  <c r="L116" i="1"/>
  <c r="L115" i="1"/>
  <c r="L114" i="1"/>
  <c r="L113" i="1"/>
  <c r="L112" i="1"/>
  <c r="L111" i="1"/>
  <c r="L110" i="1"/>
  <c r="L109" i="1"/>
  <c r="L108" i="1"/>
  <c r="L107" i="1"/>
  <c r="L106" i="1"/>
  <c r="L105" i="1"/>
  <c r="L104" i="1"/>
  <c r="L103" i="1"/>
  <c r="L102" i="1"/>
  <c r="L101" i="1"/>
  <c r="L100" i="1"/>
  <c r="L99" i="1"/>
  <c r="L98" i="1"/>
  <c r="L97" i="1"/>
  <c r="L96" i="1"/>
  <c r="L95" i="1"/>
  <c r="L94" i="1"/>
  <c r="L93" i="1"/>
  <c r="L92" i="1"/>
  <c r="L91" i="1"/>
  <c r="L90" i="1"/>
  <c r="L89" i="1"/>
  <c r="L88" i="1"/>
  <c r="L87" i="1"/>
  <c r="L86" i="1"/>
  <c r="L85" i="1"/>
  <c r="L84" i="1"/>
  <c r="L83" i="1"/>
  <c r="L82" i="1"/>
  <c r="L81" i="1"/>
  <c r="L80" i="1"/>
  <c r="L79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L2" i="1"/>
  <c r="D2" i="2"/>
</calcChain>
</file>

<file path=xl/sharedStrings.xml><?xml version="1.0" encoding="utf-8"?>
<sst xmlns="http://schemas.openxmlformats.org/spreadsheetml/2006/main" count="6025" uniqueCount="3271">
  <si>
    <t>id</t>
  </si>
  <si>
    <t>nombre_titular</t>
  </si>
  <si>
    <t>apellido_titular</t>
  </si>
  <si>
    <t>número_cuenta</t>
  </si>
  <si>
    <t>tipo_cuenta</t>
  </si>
  <si>
    <t>saldo_actual</t>
  </si>
  <si>
    <t>fecha_ultimo_movimiento</t>
  </si>
  <si>
    <t>fecha_apertura</t>
  </si>
  <si>
    <t>sucursal</t>
  </si>
  <si>
    <t>ciudad_sucursal</t>
  </si>
  <si>
    <t>Ulysses</t>
  </si>
  <si>
    <t>Sawrey</t>
  </si>
  <si>
    <t>ahorros</t>
  </si>
  <si>
    <t>RICHMOND</t>
  </si>
  <si>
    <t>Bauchi</t>
  </si>
  <si>
    <t>Moise</t>
  </si>
  <si>
    <t>Matus</t>
  </si>
  <si>
    <t>WALHALLA</t>
  </si>
  <si>
    <t>Pasargunung</t>
  </si>
  <si>
    <t>Nicol</t>
  </si>
  <si>
    <t>Kerrane</t>
  </si>
  <si>
    <t>SIOUX FALLS</t>
  </si>
  <si>
    <t>San Rafael Oriente</t>
  </si>
  <si>
    <t>Barn</t>
  </si>
  <si>
    <t>Sambell</t>
  </si>
  <si>
    <t>BIRMINGHAM</t>
  </si>
  <si>
    <t>Victoria</t>
  </si>
  <si>
    <t>Dianemarie</t>
  </si>
  <si>
    <t>Deniseau</t>
  </si>
  <si>
    <t>ELIZABETH CITY</t>
  </si>
  <si>
    <t>Qilin</t>
  </si>
  <si>
    <t>Marcella</t>
  </si>
  <si>
    <t>Everingham</t>
  </si>
  <si>
    <t>ROSEMOUNT</t>
  </si>
  <si>
    <t>Viana</t>
  </si>
  <si>
    <t>Kari</t>
  </si>
  <si>
    <t>Jewess</t>
  </si>
  <si>
    <t>NEWARK</t>
  </si>
  <si>
    <t>Caraballeda</t>
  </si>
  <si>
    <t>Flin</t>
  </si>
  <si>
    <t>Cocozza</t>
  </si>
  <si>
    <t>NORCROSS</t>
  </si>
  <si>
    <t>Taimaman</t>
  </si>
  <si>
    <t>Minnnie</t>
  </si>
  <si>
    <t>Jeandon</t>
  </si>
  <si>
    <t>corriente</t>
  </si>
  <si>
    <t>PARIS</t>
  </si>
  <si>
    <t>Sępopol</t>
  </si>
  <si>
    <t>Reggie</t>
  </si>
  <si>
    <t>Amyes</t>
  </si>
  <si>
    <t>ROSEMONT</t>
  </si>
  <si>
    <t>Chernyanka</t>
  </si>
  <si>
    <t>Leupold</t>
  </si>
  <si>
    <t>Darragh</t>
  </si>
  <si>
    <t>LAKEWOOD</t>
  </si>
  <si>
    <t>Xinhua</t>
  </si>
  <si>
    <t>Dorine</t>
  </si>
  <si>
    <t>Lambregts</t>
  </si>
  <si>
    <t>CARLSBAD</t>
  </si>
  <si>
    <t>Urasqui</t>
  </si>
  <si>
    <t>Rita</t>
  </si>
  <si>
    <t>Wraighte</t>
  </si>
  <si>
    <t>BOSOBEL</t>
  </si>
  <si>
    <t>São José de Ribamar</t>
  </si>
  <si>
    <t>Orren</t>
  </si>
  <si>
    <t>Wilkie</t>
  </si>
  <si>
    <t>Bezhta</t>
  </si>
  <si>
    <t>Emlyn</t>
  </si>
  <si>
    <t>Gulliver</t>
  </si>
  <si>
    <t>NASHVILLE</t>
  </si>
  <si>
    <t>Nangewer</t>
  </si>
  <si>
    <t>Winifred</t>
  </si>
  <si>
    <t>Collister</t>
  </si>
  <si>
    <t>ROSSVILLE</t>
  </si>
  <si>
    <t>Khūgyāṉī</t>
  </si>
  <si>
    <t>Erma</t>
  </si>
  <si>
    <t>Leirmonth</t>
  </si>
  <si>
    <t>Oklahoma City</t>
  </si>
  <si>
    <t>Carolee</t>
  </si>
  <si>
    <t>Heine</t>
  </si>
  <si>
    <t>BUFORD</t>
  </si>
  <si>
    <t>Varāmīn</t>
  </si>
  <si>
    <t>Catina</t>
  </si>
  <si>
    <t>Kirimaa</t>
  </si>
  <si>
    <t>MONTEBELLO</t>
  </si>
  <si>
    <t>Agrela</t>
  </si>
  <si>
    <t>Berna</t>
  </si>
  <si>
    <t>Gillman</t>
  </si>
  <si>
    <t>HERMITAGE</t>
  </si>
  <si>
    <t>Otra Banda</t>
  </si>
  <si>
    <t>Lida</t>
  </si>
  <si>
    <t>Wivell</t>
  </si>
  <si>
    <t>PARSONS</t>
  </si>
  <si>
    <t>Calauan</t>
  </si>
  <si>
    <t>Jacky</t>
  </si>
  <si>
    <t>Kipping</t>
  </si>
  <si>
    <t>ALBANY</t>
  </si>
  <si>
    <t>Huangtan</t>
  </si>
  <si>
    <t>Adi</t>
  </si>
  <si>
    <t>Theakston</t>
  </si>
  <si>
    <t>ROSEMEAD</t>
  </si>
  <si>
    <t>Aksakovo</t>
  </si>
  <si>
    <t>Hobard</t>
  </si>
  <si>
    <t>Bosdet</t>
  </si>
  <si>
    <t>KINGFISHER</t>
  </si>
  <si>
    <t>Nantes</t>
  </si>
  <si>
    <t>Netti</t>
  </si>
  <si>
    <t>Chapleo</t>
  </si>
  <si>
    <t>RALEIGH</t>
  </si>
  <si>
    <t>Tohautu</t>
  </si>
  <si>
    <t>Mandie</t>
  </si>
  <si>
    <t>Carlyon</t>
  </si>
  <si>
    <t>MURRIETTA</t>
  </si>
  <si>
    <t>Bojonggenteng</t>
  </si>
  <si>
    <t>Jerald</t>
  </si>
  <si>
    <t>Byer</t>
  </si>
  <si>
    <t>LAGRANGE</t>
  </si>
  <si>
    <t>Marićka</t>
  </si>
  <si>
    <t>Anni</t>
  </si>
  <si>
    <t>Bohman</t>
  </si>
  <si>
    <t>Parakanpanjang</t>
  </si>
  <si>
    <t>Crosby</t>
  </si>
  <si>
    <t>Gibard</t>
  </si>
  <si>
    <t>GLENCOE</t>
  </si>
  <si>
    <t>Leceia</t>
  </si>
  <si>
    <t>Charlena</t>
  </si>
  <si>
    <t>Izakov</t>
  </si>
  <si>
    <t>NAPERVILLE</t>
  </si>
  <si>
    <t>Peukanbada</t>
  </si>
  <si>
    <t>Abbe</t>
  </si>
  <si>
    <t>Cattermole</t>
  </si>
  <si>
    <t>CINCINNATI</t>
  </si>
  <si>
    <t>Lengkongbarang</t>
  </si>
  <si>
    <t>Benita</t>
  </si>
  <si>
    <t>Middas</t>
  </si>
  <si>
    <t>TUPELO</t>
  </si>
  <si>
    <t>Indianapolis</t>
  </si>
  <si>
    <t>Minnie</t>
  </si>
  <si>
    <t>Malbon</t>
  </si>
  <si>
    <t>JASPER</t>
  </si>
  <si>
    <t>Cabra Figa</t>
  </si>
  <si>
    <t>Fabiano</t>
  </si>
  <si>
    <t>MacFadzan</t>
  </si>
  <si>
    <t>MIAMI</t>
  </si>
  <si>
    <t>Petrodvorets</t>
  </si>
  <si>
    <t>Walt</t>
  </si>
  <si>
    <t>Fratson</t>
  </si>
  <si>
    <t>PITTSBURGH</t>
  </si>
  <si>
    <t>Changle</t>
  </si>
  <si>
    <t>Fielding</t>
  </si>
  <si>
    <t>Farish</t>
  </si>
  <si>
    <t>LEWISTON</t>
  </si>
  <si>
    <t>Voyskovitsy</t>
  </si>
  <si>
    <t>Daphene</t>
  </si>
  <si>
    <t>Fann</t>
  </si>
  <si>
    <t>BAIRD</t>
  </si>
  <si>
    <t>Dzuunmod</t>
  </si>
  <si>
    <t>Adiana</t>
  </si>
  <si>
    <t>Folling</t>
  </si>
  <si>
    <t>THOMASVILLE</t>
  </si>
  <si>
    <t>Eger</t>
  </si>
  <si>
    <t>Bobbee</t>
  </si>
  <si>
    <t>Dahmel</t>
  </si>
  <si>
    <t>ORBISONIA</t>
  </si>
  <si>
    <t>Chignayhua</t>
  </si>
  <si>
    <t>Cortie</t>
  </si>
  <si>
    <t>Burles</t>
  </si>
  <si>
    <t>N. CHAS</t>
  </si>
  <si>
    <t>Brooklyn</t>
  </si>
  <si>
    <t>Shandra</t>
  </si>
  <si>
    <t>Jekel</t>
  </si>
  <si>
    <t>Sinarjaya</t>
  </si>
  <si>
    <t>Cassie</t>
  </si>
  <si>
    <t>Fideler</t>
  </si>
  <si>
    <t>Hubei</t>
  </si>
  <si>
    <t>Aileen</t>
  </si>
  <si>
    <t>Widd</t>
  </si>
  <si>
    <t>DURHAM</t>
  </si>
  <si>
    <t>Santos Evos</t>
  </si>
  <si>
    <t>Carline</t>
  </si>
  <si>
    <t>Boxill</t>
  </si>
  <si>
    <t>DALEVILLE</t>
  </si>
  <si>
    <t>Norrköping</t>
  </si>
  <si>
    <t>Blithe</t>
  </si>
  <si>
    <t>Sterzaker</t>
  </si>
  <si>
    <t>BROOKINGS</t>
  </si>
  <si>
    <t>Shouchang</t>
  </si>
  <si>
    <t>Blancha</t>
  </si>
  <si>
    <t>Minichillo</t>
  </si>
  <si>
    <t>ALMA</t>
  </si>
  <si>
    <t>Uppsala</t>
  </si>
  <si>
    <t>Celinda</t>
  </si>
  <si>
    <t>Bradlaugh</t>
  </si>
  <si>
    <t>PORTLAND</t>
  </si>
  <si>
    <t>Bošovice</t>
  </si>
  <si>
    <t>Burnard</t>
  </si>
  <si>
    <t>Addenbrooke</t>
  </si>
  <si>
    <t>ZEBULON</t>
  </si>
  <si>
    <t>Néa Flogitá</t>
  </si>
  <si>
    <t>Joaquin</t>
  </si>
  <si>
    <t>Sadat</t>
  </si>
  <si>
    <t>COEUR D'ALENE</t>
  </si>
  <si>
    <t>Pyu</t>
  </si>
  <si>
    <t>Lilith</t>
  </si>
  <si>
    <t>Lutwidge</t>
  </si>
  <si>
    <t>MADISONVILLE</t>
  </si>
  <si>
    <t>Ravne na Koroškem</t>
  </si>
  <si>
    <t>Marlena</t>
  </si>
  <si>
    <t>Kellick</t>
  </si>
  <si>
    <t>DOWNEY</t>
  </si>
  <si>
    <t>Dzüünharaa</t>
  </si>
  <si>
    <t>Anthiathia</t>
  </si>
  <si>
    <t>Kasman</t>
  </si>
  <si>
    <t>WILSON</t>
  </si>
  <si>
    <t>Kradinan</t>
  </si>
  <si>
    <t>Emmalynne</t>
  </si>
  <si>
    <t>Bilverstone</t>
  </si>
  <si>
    <t>MINNEAPOLIS</t>
  </si>
  <si>
    <t>Dalaba</t>
  </si>
  <si>
    <t>Sharleen</t>
  </si>
  <si>
    <t>Helgass</t>
  </si>
  <si>
    <t>GRETNA</t>
  </si>
  <si>
    <t>Cucuyagua</t>
  </si>
  <si>
    <t>Mimi</t>
  </si>
  <si>
    <t>Blackie</t>
  </si>
  <si>
    <t>NORTH CHGO</t>
  </si>
  <si>
    <t>Rubik</t>
  </si>
  <si>
    <t>Roxy</t>
  </si>
  <si>
    <t>Manssuer</t>
  </si>
  <si>
    <t>Qulai</t>
  </si>
  <si>
    <t>Maible</t>
  </si>
  <si>
    <t>Hammonds</t>
  </si>
  <si>
    <t>Soure</t>
  </si>
  <si>
    <t>Fina</t>
  </si>
  <si>
    <t>Corke</t>
  </si>
  <si>
    <t>Santa Teresita</t>
  </si>
  <si>
    <t>Sherlocke</t>
  </si>
  <si>
    <t>Hallen</t>
  </si>
  <si>
    <t>READING</t>
  </si>
  <si>
    <t>Skelivka</t>
  </si>
  <si>
    <t>Weidar</t>
  </si>
  <si>
    <t>Goodburn</t>
  </si>
  <si>
    <t>BASIN</t>
  </si>
  <si>
    <t>Upi</t>
  </si>
  <si>
    <t>Sib</t>
  </si>
  <si>
    <t>Barstow</t>
  </si>
  <si>
    <t>EAST LANSING</t>
  </si>
  <si>
    <t>Minas de Marcona</t>
  </si>
  <si>
    <t>Tito</t>
  </si>
  <si>
    <t>di Rocca</t>
  </si>
  <si>
    <t>LINCOLNTON</t>
  </si>
  <si>
    <t>Mingguang</t>
  </si>
  <si>
    <t>Herve</t>
  </si>
  <si>
    <t>Pickaver</t>
  </si>
  <si>
    <t>Bayt Līd</t>
  </si>
  <si>
    <t>Gene</t>
  </si>
  <si>
    <t>Nussey</t>
  </si>
  <si>
    <t>Villa Nueva</t>
  </si>
  <si>
    <t>Dasha</t>
  </si>
  <si>
    <t>Linne</t>
  </si>
  <si>
    <t>Vinica</t>
  </si>
  <si>
    <t>Charmain</t>
  </si>
  <si>
    <t>Scholling</t>
  </si>
  <si>
    <t>SPOKANE</t>
  </si>
  <si>
    <t>Valbo</t>
  </si>
  <si>
    <t>Shepperd</t>
  </si>
  <si>
    <t>Leborgne</t>
  </si>
  <si>
    <t>Saniwonorejo</t>
  </si>
  <si>
    <t>Rose</t>
  </si>
  <si>
    <t>Andor</t>
  </si>
  <si>
    <t>MIDLAND</t>
  </si>
  <si>
    <t>Zhongpai</t>
  </si>
  <si>
    <t>Katusha</t>
  </si>
  <si>
    <t>Nana</t>
  </si>
  <si>
    <t>BRANDON</t>
  </si>
  <si>
    <t>Lelekovice</t>
  </si>
  <si>
    <t>Willette</t>
  </si>
  <si>
    <t>Corwood</t>
  </si>
  <si>
    <t>Dammarie-les-Lys</t>
  </si>
  <si>
    <t>Cora</t>
  </si>
  <si>
    <t>Jonathon</t>
  </si>
  <si>
    <t>SANTA FE</t>
  </si>
  <si>
    <t>Ralevka</t>
  </si>
  <si>
    <t>Raye</t>
  </si>
  <si>
    <t>Sergean</t>
  </si>
  <si>
    <t>Mafra</t>
  </si>
  <si>
    <t>Timmie</t>
  </si>
  <si>
    <t>McGuigan</t>
  </si>
  <si>
    <t>LINDEN</t>
  </si>
  <si>
    <t>Sindangjati</t>
  </si>
  <si>
    <t>Hayward</t>
  </si>
  <si>
    <t>Maskrey</t>
  </si>
  <si>
    <t>SAINT PETER</t>
  </si>
  <si>
    <t>Padas</t>
  </si>
  <si>
    <t>Elwira</t>
  </si>
  <si>
    <t>Goldup</t>
  </si>
  <si>
    <t>CAMPBELL HILL</t>
  </si>
  <si>
    <t>La Luz</t>
  </si>
  <si>
    <t>Ailee</t>
  </si>
  <si>
    <t>Boffin</t>
  </si>
  <si>
    <t>Cheremshan</t>
  </si>
  <si>
    <t>Stevana</t>
  </si>
  <si>
    <t>Reams</t>
  </si>
  <si>
    <t>GIRARD</t>
  </si>
  <si>
    <t>Chełmiec</t>
  </si>
  <si>
    <t>Briano</t>
  </si>
  <si>
    <t>MacUchadair</t>
  </si>
  <si>
    <t>Beaufort</t>
  </si>
  <si>
    <t>Lebbie</t>
  </si>
  <si>
    <t>Boxhill</t>
  </si>
  <si>
    <t>Esquipulas</t>
  </si>
  <si>
    <t>Griswold</t>
  </si>
  <si>
    <t>Spaduzza</t>
  </si>
  <si>
    <t>Jinxiang</t>
  </si>
  <si>
    <t>Ephrayim</t>
  </si>
  <si>
    <t>Leggitt</t>
  </si>
  <si>
    <t>Lovrenc na Pohorju</t>
  </si>
  <si>
    <t>Boote</t>
  </si>
  <si>
    <t>McVey</t>
  </si>
  <si>
    <t>BELDING</t>
  </si>
  <si>
    <t>Foros do Trapo</t>
  </si>
  <si>
    <t>Maddy</t>
  </si>
  <si>
    <t>O'Lochan</t>
  </si>
  <si>
    <t>FT.LAUDERDALE</t>
  </si>
  <si>
    <t>Gap</t>
  </si>
  <si>
    <t>Garvin</t>
  </si>
  <si>
    <t>Bibbie</t>
  </si>
  <si>
    <t>Guadalupe</t>
  </si>
  <si>
    <t>Britni</t>
  </si>
  <si>
    <t>Hatt</t>
  </si>
  <si>
    <t>ST. PAUL</t>
  </si>
  <si>
    <t>Made</t>
  </si>
  <si>
    <t>Cobby</t>
  </si>
  <si>
    <t>Hoyt</t>
  </si>
  <si>
    <t>WARRENSBURG</t>
  </si>
  <si>
    <t>Bandar-e Māhshahr</t>
  </si>
  <si>
    <t>Margalit</t>
  </si>
  <si>
    <t>Lahy</t>
  </si>
  <si>
    <t>Bieliny</t>
  </si>
  <si>
    <t>Wells</t>
  </si>
  <si>
    <t>Malec</t>
  </si>
  <si>
    <t>PITTSFIELD</t>
  </si>
  <si>
    <t>Junqueiro</t>
  </si>
  <si>
    <t>Nobe</t>
  </si>
  <si>
    <t>Kelsell</t>
  </si>
  <si>
    <t>Rakhiv</t>
  </si>
  <si>
    <t>Faun</t>
  </si>
  <si>
    <t>Dorre</t>
  </si>
  <si>
    <t>BLUEFIELD</t>
  </si>
  <si>
    <t>Saint-Augustin</t>
  </si>
  <si>
    <t>Carter</t>
  </si>
  <si>
    <t>Tankard</t>
  </si>
  <si>
    <t>Longxi</t>
  </si>
  <si>
    <t>Ruthi</t>
  </si>
  <si>
    <t>Aylmer</t>
  </si>
  <si>
    <t>Lindy</t>
  </si>
  <si>
    <t>Goulden</t>
  </si>
  <si>
    <t>ENGLEWOOD CLIFFS</t>
  </si>
  <si>
    <t>Vestmanna</t>
  </si>
  <si>
    <t>Paulie</t>
  </si>
  <si>
    <t>MacDougall</t>
  </si>
  <si>
    <t>ALBIA</t>
  </si>
  <si>
    <t>Smyków</t>
  </si>
  <si>
    <t>Jemie</t>
  </si>
  <si>
    <t>Petrello</t>
  </si>
  <si>
    <t>Nossa Senhora de Machede</t>
  </si>
  <si>
    <t>Lea</t>
  </si>
  <si>
    <t>Semerad</t>
  </si>
  <si>
    <t>PULASKI</t>
  </si>
  <si>
    <t>Detroit</t>
  </si>
  <si>
    <t>Corrine</t>
  </si>
  <si>
    <t>Sukbhans</t>
  </si>
  <si>
    <t>BIG TIMBER</t>
  </si>
  <si>
    <t>Quintão</t>
  </si>
  <si>
    <t>Carma</t>
  </si>
  <si>
    <t>Lambal</t>
  </si>
  <si>
    <t>ALBION</t>
  </si>
  <si>
    <t>Washington</t>
  </si>
  <si>
    <t>Nevins</t>
  </si>
  <si>
    <t>Scarasbrick</t>
  </si>
  <si>
    <t>Cerna</t>
  </si>
  <si>
    <t>Greer</t>
  </si>
  <si>
    <t>Guite</t>
  </si>
  <si>
    <t>TAMPA</t>
  </si>
  <si>
    <t>Zhusha</t>
  </si>
  <si>
    <t>Daryl</t>
  </si>
  <si>
    <t>Sturdy</t>
  </si>
  <si>
    <t>Touzao</t>
  </si>
  <si>
    <t>Dino</t>
  </si>
  <si>
    <t>Klossmann</t>
  </si>
  <si>
    <t>MAGNOLIA</t>
  </si>
  <si>
    <t>Wałcz</t>
  </si>
  <si>
    <t>Flinn</t>
  </si>
  <si>
    <t>Cawkwell</t>
  </si>
  <si>
    <t>Maqian</t>
  </si>
  <si>
    <t>Gilemette</t>
  </si>
  <si>
    <t>Sollner</t>
  </si>
  <si>
    <t>SULPHUR SPRINGS</t>
  </si>
  <si>
    <t>Limmared</t>
  </si>
  <si>
    <t>Elenore</t>
  </si>
  <si>
    <t>Kyndred</t>
  </si>
  <si>
    <t>MOULTRIE</t>
  </si>
  <si>
    <t>Timba Lauk</t>
  </si>
  <si>
    <t>Kylila</t>
  </si>
  <si>
    <t>Worley</t>
  </si>
  <si>
    <t>Huangbayi</t>
  </si>
  <si>
    <t>Jillian</t>
  </si>
  <si>
    <t>Orange</t>
  </si>
  <si>
    <t>Zelenogradsk</t>
  </si>
  <si>
    <t>Darby</t>
  </si>
  <si>
    <t>De Pietri</t>
  </si>
  <si>
    <t>SHELBY</t>
  </si>
  <si>
    <t>Wujia</t>
  </si>
  <si>
    <t>Ines</t>
  </si>
  <si>
    <t>Nutton</t>
  </si>
  <si>
    <t>NEW BRITAIN</t>
  </si>
  <si>
    <t>Vatutino</t>
  </si>
  <si>
    <t>Sigismondo</t>
  </si>
  <si>
    <t>Edwicke</t>
  </si>
  <si>
    <t>ST PAUL</t>
  </si>
  <si>
    <t>Berlin</t>
  </si>
  <si>
    <t>Perri</t>
  </si>
  <si>
    <t>Chapelhow</t>
  </si>
  <si>
    <t>SAN ANGELO</t>
  </si>
  <si>
    <t>Trzcianka</t>
  </si>
  <si>
    <t>Free</t>
  </si>
  <si>
    <t>Dillinger</t>
  </si>
  <si>
    <t>NAPERVILLEL</t>
  </si>
  <si>
    <t>Kuilehe</t>
  </si>
  <si>
    <t>Teodorico</t>
  </si>
  <si>
    <t>Verzey</t>
  </si>
  <si>
    <t>Coasa</t>
  </si>
  <si>
    <t>Ransell</t>
  </si>
  <si>
    <t>Iacavone</t>
  </si>
  <si>
    <t>WHEELING</t>
  </si>
  <si>
    <t>Wewoloe</t>
  </si>
  <si>
    <t>Krissy</t>
  </si>
  <si>
    <t>Burnett</t>
  </si>
  <si>
    <t>SEARCY</t>
  </si>
  <si>
    <t>Sukorejo</t>
  </si>
  <si>
    <t>Orly</t>
  </si>
  <si>
    <t>Flello</t>
  </si>
  <si>
    <t>Neqāb</t>
  </si>
  <si>
    <t>Allina</t>
  </si>
  <si>
    <t>Mae Hi</t>
  </si>
  <si>
    <t>Giorgia</t>
  </si>
  <si>
    <t>Wynter</t>
  </si>
  <si>
    <t>WAYNE</t>
  </si>
  <si>
    <t>Dalang</t>
  </si>
  <si>
    <t>Hodgin</t>
  </si>
  <si>
    <t>CATLIN</t>
  </si>
  <si>
    <t>Rukem</t>
  </si>
  <si>
    <t>Thacher</t>
  </si>
  <si>
    <t>Onge</t>
  </si>
  <si>
    <t>Assis</t>
  </si>
  <si>
    <t>Emyle</t>
  </si>
  <si>
    <t>Meugens</t>
  </si>
  <si>
    <t>Souziqiu</t>
  </si>
  <si>
    <t>Marvin</t>
  </si>
  <si>
    <t>Francillo</t>
  </si>
  <si>
    <t>OXFORD</t>
  </si>
  <si>
    <t>Acas</t>
  </si>
  <si>
    <t>Christine</t>
  </si>
  <si>
    <t>Hodgen</t>
  </si>
  <si>
    <t>Suqu</t>
  </si>
  <si>
    <t>Monica</t>
  </si>
  <si>
    <t>Storry</t>
  </si>
  <si>
    <t>HAWTHORNE</t>
  </si>
  <si>
    <t>Paris 04</t>
  </si>
  <si>
    <t>Cobbie</t>
  </si>
  <si>
    <t>Challis</t>
  </si>
  <si>
    <t>KANSAS CITY</t>
  </si>
  <si>
    <t>Krzyżanów</t>
  </si>
  <si>
    <t>Gabi</t>
  </si>
  <si>
    <t>Meale</t>
  </si>
  <si>
    <t>SAN DIEGO</t>
  </si>
  <si>
    <t>Bokaa</t>
  </si>
  <si>
    <t>Alphonse</t>
  </si>
  <si>
    <t>Youster</t>
  </si>
  <si>
    <t>ASHEVILLE</t>
  </si>
  <si>
    <t>Devon</t>
  </si>
  <si>
    <t>Farand</t>
  </si>
  <si>
    <t>Trainer</t>
  </si>
  <si>
    <t>Banjar Laing</t>
  </si>
  <si>
    <t>Wilbert</t>
  </si>
  <si>
    <t>Garrud</t>
  </si>
  <si>
    <t>Al Ghandūrah</t>
  </si>
  <si>
    <t>Darb</t>
  </si>
  <si>
    <t>Leavey</t>
  </si>
  <si>
    <t>Zhujiaqiao</t>
  </si>
  <si>
    <t>Joyous</t>
  </si>
  <si>
    <t>Andresen</t>
  </si>
  <si>
    <t>Sanjō</t>
  </si>
  <si>
    <t>Marianne</t>
  </si>
  <si>
    <t>Lindelof</t>
  </si>
  <si>
    <t>ONTARIO</t>
  </si>
  <si>
    <t>Phayakkhaphum Phisai</t>
  </si>
  <si>
    <t>Wheeler</t>
  </si>
  <si>
    <t>Emmanueli</t>
  </si>
  <si>
    <t>ATLANTA</t>
  </si>
  <si>
    <t>Itoigawa</t>
  </si>
  <si>
    <t>Wyatt</t>
  </si>
  <si>
    <t>Sapsed</t>
  </si>
  <si>
    <t>SAN SABA</t>
  </si>
  <si>
    <t>Lisków</t>
  </si>
  <si>
    <t>Judi</t>
  </si>
  <si>
    <t>Caddie</t>
  </si>
  <si>
    <t>Hinthada</t>
  </si>
  <si>
    <t>Lyndell</t>
  </si>
  <si>
    <t>Jorn</t>
  </si>
  <si>
    <t>CHARLESTON</t>
  </si>
  <si>
    <t>Balas</t>
  </si>
  <si>
    <t>Hastewell</t>
  </si>
  <si>
    <t>SUGARLAND</t>
  </si>
  <si>
    <t>Tras Cerros</t>
  </si>
  <si>
    <t>Alphard</t>
  </si>
  <si>
    <t>Hewkin</t>
  </si>
  <si>
    <t>Duantan</t>
  </si>
  <si>
    <t>Delcine</t>
  </si>
  <si>
    <t>Aikenhead</t>
  </si>
  <si>
    <t>Derbent</t>
  </si>
  <si>
    <t>Zonnya</t>
  </si>
  <si>
    <t>Wotherspoon</t>
  </si>
  <si>
    <t>Xinpeicun</t>
  </si>
  <si>
    <t>Helen-elizabeth</t>
  </si>
  <si>
    <t>Buessen</t>
  </si>
  <si>
    <t>N CHAS</t>
  </si>
  <si>
    <t>Cukanguncal</t>
  </si>
  <si>
    <t>Mirabella</t>
  </si>
  <si>
    <t>Merricks</t>
  </si>
  <si>
    <t>WAYNESBORO</t>
  </si>
  <si>
    <t>Fengjia</t>
  </si>
  <si>
    <t>Krishna</t>
  </si>
  <si>
    <t>Chidley</t>
  </si>
  <si>
    <t>SUGAR LAND</t>
  </si>
  <si>
    <t>Gorgoram</t>
  </si>
  <si>
    <t>Zebadiah</t>
  </si>
  <si>
    <t>Bedle</t>
  </si>
  <si>
    <t>CLEVELAND</t>
  </si>
  <si>
    <t>Sindi</t>
  </si>
  <si>
    <t>Rad</t>
  </si>
  <si>
    <t>Speed</t>
  </si>
  <si>
    <t>Staritsa</t>
  </si>
  <si>
    <t>Ermentrude</t>
  </si>
  <si>
    <t>Penley</t>
  </si>
  <si>
    <t>PERRY</t>
  </si>
  <si>
    <t>Puerres</t>
  </si>
  <si>
    <t>Fredrika</t>
  </si>
  <si>
    <t>Ebben</t>
  </si>
  <si>
    <t>COVINGTON</t>
  </si>
  <si>
    <t>Amsterdam-Oost</t>
  </si>
  <si>
    <t>Lian</t>
  </si>
  <si>
    <t>Pittet</t>
  </si>
  <si>
    <t>Koba</t>
  </si>
  <si>
    <t>Grace</t>
  </si>
  <si>
    <t>Hintze</t>
  </si>
  <si>
    <t>Longbo</t>
  </si>
  <si>
    <t>Liuka</t>
  </si>
  <si>
    <t>Kopelman</t>
  </si>
  <si>
    <t>San Diego</t>
  </si>
  <si>
    <t>Lorie</t>
  </si>
  <si>
    <t>Torricella</t>
  </si>
  <si>
    <t>WASECA</t>
  </si>
  <si>
    <t>Divichibazar</t>
  </si>
  <si>
    <t>Tamarra</t>
  </si>
  <si>
    <t>Goodfellow</t>
  </si>
  <si>
    <t>Lysá nad Labem</t>
  </si>
  <si>
    <t>Theodore</t>
  </si>
  <si>
    <t>Stopp</t>
  </si>
  <si>
    <t>Mijiang</t>
  </si>
  <si>
    <t>Clywd</t>
  </si>
  <si>
    <t>Frunks</t>
  </si>
  <si>
    <t>Totok</t>
  </si>
  <si>
    <t>Chandra</t>
  </si>
  <si>
    <t>Mulrean</t>
  </si>
  <si>
    <t>Ifakara</t>
  </si>
  <si>
    <t>Johnna</t>
  </si>
  <si>
    <t>Kurdani</t>
  </si>
  <si>
    <t>Loznitsa</t>
  </si>
  <si>
    <t>Kincaid</t>
  </si>
  <si>
    <t>Lacasa</t>
  </si>
  <si>
    <t>ROCKPORT</t>
  </si>
  <si>
    <t>Meilin</t>
  </si>
  <si>
    <t>Stefania</t>
  </si>
  <si>
    <t>Merlin</t>
  </si>
  <si>
    <t>Kosti</t>
  </si>
  <si>
    <t>Kaitlin</t>
  </si>
  <si>
    <t>Bisgrove</t>
  </si>
  <si>
    <t>GANADO</t>
  </si>
  <si>
    <t>Umeå</t>
  </si>
  <si>
    <t>Kaye</t>
  </si>
  <si>
    <t>Alti</t>
  </si>
  <si>
    <t>Budapest</t>
  </si>
  <si>
    <t>Sharla</t>
  </si>
  <si>
    <t>Slesser</t>
  </si>
  <si>
    <t>Lingdong</t>
  </si>
  <si>
    <t>Yvor</t>
  </si>
  <si>
    <t>Seed</t>
  </si>
  <si>
    <t>Krajan</t>
  </si>
  <si>
    <t>Gilberto</t>
  </si>
  <si>
    <t>Gammie</t>
  </si>
  <si>
    <t>Oesao</t>
  </si>
  <si>
    <t>Claudio</t>
  </si>
  <si>
    <t>Jowsey</t>
  </si>
  <si>
    <t>El Pardo</t>
  </si>
  <si>
    <t>Siobhan</t>
  </si>
  <si>
    <t>Jesty</t>
  </si>
  <si>
    <t>Bicurga</t>
  </si>
  <si>
    <t>Friedrick</t>
  </si>
  <si>
    <t>Gilhouley</t>
  </si>
  <si>
    <t>Santa Magdalena</t>
  </si>
  <si>
    <t>Ariel</t>
  </si>
  <si>
    <t>Niset</t>
  </si>
  <si>
    <t>WINTERS</t>
  </si>
  <si>
    <t>Wang Nam Yen</t>
  </si>
  <si>
    <t>Nelle</t>
  </si>
  <si>
    <t>Dowden</t>
  </si>
  <si>
    <t>PANA</t>
  </si>
  <si>
    <t>Marcala</t>
  </si>
  <si>
    <t>Silvia</t>
  </si>
  <si>
    <t>MacGarrity</t>
  </si>
  <si>
    <t>FRANKFORT</t>
  </si>
  <si>
    <t>Chafé</t>
  </si>
  <si>
    <t>Waverly</t>
  </si>
  <si>
    <t>Toleman</t>
  </si>
  <si>
    <t>WILMINGTON</t>
  </si>
  <si>
    <t>Purwodadi</t>
  </si>
  <si>
    <t>Kayley</t>
  </si>
  <si>
    <t>Stanbridge</t>
  </si>
  <si>
    <t>FT LAUDERDALE</t>
  </si>
  <si>
    <t>Makilala</t>
  </si>
  <si>
    <t>Elonore</t>
  </si>
  <si>
    <t>Gallehock</t>
  </si>
  <si>
    <t>ATMORE</t>
  </si>
  <si>
    <t>Požarevac</t>
  </si>
  <si>
    <t>Saul</t>
  </si>
  <si>
    <t>Perico</t>
  </si>
  <si>
    <t>MOUND CITY</t>
  </si>
  <si>
    <t>Geumpang</t>
  </si>
  <si>
    <t>Terence</t>
  </si>
  <si>
    <t>Trematick</t>
  </si>
  <si>
    <t>CHANUTE</t>
  </si>
  <si>
    <t>Zea</t>
  </si>
  <si>
    <t>Catha</t>
  </si>
  <si>
    <t>Cluely</t>
  </si>
  <si>
    <t>Zamość</t>
  </si>
  <si>
    <t>Rana</t>
  </si>
  <si>
    <t>Stanlick</t>
  </si>
  <si>
    <t>Salem</t>
  </si>
  <si>
    <t>Lorenzo</t>
  </si>
  <si>
    <t>Romayne</t>
  </si>
  <si>
    <t>San Teodoro</t>
  </si>
  <si>
    <t>Trescha</t>
  </si>
  <si>
    <t>Gillham</t>
  </si>
  <si>
    <t>HINESVILLE</t>
  </si>
  <si>
    <t>Novi Sad</t>
  </si>
  <si>
    <t>Vita</t>
  </si>
  <si>
    <t>Schlagh</t>
  </si>
  <si>
    <t>Combapata</t>
  </si>
  <si>
    <t>Catherina</t>
  </si>
  <si>
    <t>Vina</t>
  </si>
  <si>
    <t>Huangcun</t>
  </si>
  <si>
    <t>Anne-corinne</t>
  </si>
  <si>
    <t>Crotty</t>
  </si>
  <si>
    <t>Avdzaga</t>
  </si>
  <si>
    <t>Lara</t>
  </si>
  <si>
    <t>Lohmeyer</t>
  </si>
  <si>
    <t>Shikou</t>
  </si>
  <si>
    <t>Alejoa</t>
  </si>
  <si>
    <t>Recke</t>
  </si>
  <si>
    <t>EAST RUTHERFORD</t>
  </si>
  <si>
    <t>Svoboda nad Úpou</t>
  </si>
  <si>
    <t>Caleb</t>
  </si>
  <si>
    <t>Sobieski</t>
  </si>
  <si>
    <t>Eldoret</t>
  </si>
  <si>
    <t>Rowland</t>
  </si>
  <si>
    <t>Siddall</t>
  </si>
  <si>
    <t>Hongor</t>
  </si>
  <si>
    <t>Ingaborg</t>
  </si>
  <si>
    <t>Chasen</t>
  </si>
  <si>
    <t>RYE</t>
  </si>
  <si>
    <t>Shaffa</t>
  </si>
  <si>
    <t>Wendall</t>
  </si>
  <si>
    <t>Brokenshire</t>
  </si>
  <si>
    <t>Suai</t>
  </si>
  <si>
    <t>Liv</t>
  </si>
  <si>
    <t>Ayling</t>
  </si>
  <si>
    <t>Talbot</t>
  </si>
  <si>
    <t>Peery</t>
  </si>
  <si>
    <t>Vitória do Mearim</t>
  </si>
  <si>
    <t>Minnaminnie</t>
  </si>
  <si>
    <t>Symcox</t>
  </si>
  <si>
    <t>Kota Bharu</t>
  </si>
  <si>
    <t>Mame</t>
  </si>
  <si>
    <t>Bulstrode</t>
  </si>
  <si>
    <t>Limoeiro</t>
  </si>
  <si>
    <t>Georgette</t>
  </si>
  <si>
    <t>Buggs</t>
  </si>
  <si>
    <t>CORRIGAN</t>
  </si>
  <si>
    <t>Štitar</t>
  </si>
  <si>
    <t>Chucho</t>
  </si>
  <si>
    <t>Cowton</t>
  </si>
  <si>
    <t>LYNN</t>
  </si>
  <si>
    <t>Satita</t>
  </si>
  <si>
    <t>Royce</t>
  </si>
  <si>
    <t>Sloan</t>
  </si>
  <si>
    <t>Atipuluhan</t>
  </si>
  <si>
    <t>Sophey</t>
  </si>
  <si>
    <t>House</t>
  </si>
  <si>
    <t>Conceição do Coité</t>
  </si>
  <si>
    <t>Nollie</t>
  </si>
  <si>
    <t>Winfield</t>
  </si>
  <si>
    <t>FT. LAUDERDALE</t>
  </si>
  <si>
    <t>Laval</t>
  </si>
  <si>
    <t>Lemar</t>
  </si>
  <si>
    <t>Jouhan</t>
  </si>
  <si>
    <t>Irasan</t>
  </si>
  <si>
    <t>Hugli</t>
  </si>
  <si>
    <t>BELZONI</t>
  </si>
  <si>
    <t>Xuancheng</t>
  </si>
  <si>
    <t>Jolynn</t>
  </si>
  <si>
    <t>Ofer</t>
  </si>
  <si>
    <t>GREENWOOD</t>
  </si>
  <si>
    <t>Ejmiatsin</t>
  </si>
  <si>
    <t>Brianna</t>
  </si>
  <si>
    <t>Greenard</t>
  </si>
  <si>
    <t>Tarica</t>
  </si>
  <si>
    <t>Glennis</t>
  </si>
  <si>
    <t>Brittles</t>
  </si>
  <si>
    <t>Caozhen</t>
  </si>
  <si>
    <t>Carmelia</t>
  </si>
  <si>
    <t>Christer</t>
  </si>
  <si>
    <t>Wotan</t>
  </si>
  <si>
    <t>Ree</t>
  </si>
  <si>
    <t>Deniset</t>
  </si>
  <si>
    <t>Gambut</t>
  </si>
  <si>
    <t>Allegra</t>
  </si>
  <si>
    <t>Matousek</t>
  </si>
  <si>
    <t>CONWAY</t>
  </si>
  <si>
    <t>Prelog</t>
  </si>
  <si>
    <t>Belita</t>
  </si>
  <si>
    <t>Seers</t>
  </si>
  <si>
    <t>Baume-les-Dames</t>
  </si>
  <si>
    <t>Marijn</t>
  </si>
  <si>
    <t>Storton</t>
  </si>
  <si>
    <t>INDIANA</t>
  </si>
  <si>
    <t>Mehtar Lām</t>
  </si>
  <si>
    <t>Joana</t>
  </si>
  <si>
    <t>Dalrymple</t>
  </si>
  <si>
    <t>Houxixi</t>
  </si>
  <si>
    <t>Nat</t>
  </si>
  <si>
    <t>Ingraham</t>
  </si>
  <si>
    <t>Shubenka</t>
  </si>
  <si>
    <t>Waldo</t>
  </si>
  <si>
    <t>Haining</t>
  </si>
  <si>
    <t>Lorengau</t>
  </si>
  <si>
    <t>Gawen</t>
  </si>
  <si>
    <t>Simner</t>
  </si>
  <si>
    <t>SAN ANTONIO</t>
  </si>
  <si>
    <t>Huaqiao</t>
  </si>
  <si>
    <t>Pren</t>
  </si>
  <si>
    <t>Swyer-Sexey</t>
  </si>
  <si>
    <t>HENRICO</t>
  </si>
  <si>
    <t>Tlogoagung</t>
  </si>
  <si>
    <t>Mariam</t>
  </si>
  <si>
    <t>Gillooly</t>
  </si>
  <si>
    <t>Banjar Yehsatang</t>
  </si>
  <si>
    <t>Malachi</t>
  </si>
  <si>
    <t>Carbert</t>
  </si>
  <si>
    <t>Sbikha</t>
  </si>
  <si>
    <t>Gunther</t>
  </si>
  <si>
    <t>Kienle</t>
  </si>
  <si>
    <t>Tubli</t>
  </si>
  <si>
    <t>Denyse</t>
  </si>
  <si>
    <t>Uzzell</t>
  </si>
  <si>
    <t>Jacquelin</t>
  </si>
  <si>
    <t>Dinwoodie</t>
  </si>
  <si>
    <t>Bengtsfors</t>
  </si>
  <si>
    <t>Jess</t>
  </si>
  <si>
    <t>Gemmill</t>
  </si>
  <si>
    <t>LAFAYETTE</t>
  </si>
  <si>
    <t>Nové Sedlo</t>
  </si>
  <si>
    <t>Frederique</t>
  </si>
  <si>
    <t>Adrain</t>
  </si>
  <si>
    <t>Santo Domingo Oeste</t>
  </si>
  <si>
    <t>Rici</t>
  </si>
  <si>
    <t>Potes</t>
  </si>
  <si>
    <t>Sceaux</t>
  </si>
  <si>
    <t>Loella</t>
  </si>
  <si>
    <t>Eytel</t>
  </si>
  <si>
    <t>Ruse</t>
  </si>
  <si>
    <t>Richard</t>
  </si>
  <si>
    <t>Gouly</t>
  </si>
  <si>
    <t>FORT PAYNE</t>
  </si>
  <si>
    <t>Jaen</t>
  </si>
  <si>
    <t>Clarissa</t>
  </si>
  <si>
    <t>Darleston</t>
  </si>
  <si>
    <t>Palermo</t>
  </si>
  <si>
    <t>Marjy</t>
  </si>
  <si>
    <t>Dadley</t>
  </si>
  <si>
    <t>San Isidro</t>
  </si>
  <si>
    <t>Aubry</t>
  </si>
  <si>
    <t>Griston</t>
  </si>
  <si>
    <t>DUNCAN</t>
  </si>
  <si>
    <t>Venëv</t>
  </si>
  <si>
    <t>Bing</t>
  </si>
  <si>
    <t>Emanulsson</t>
  </si>
  <si>
    <t>Sambilawang</t>
  </si>
  <si>
    <t>Madonna</t>
  </si>
  <si>
    <t>Hembling</t>
  </si>
  <si>
    <t>Stockholm</t>
  </si>
  <si>
    <t>Esma</t>
  </si>
  <si>
    <t>Endacott</t>
  </si>
  <si>
    <t>LAWRENCE</t>
  </si>
  <si>
    <t>Kohlu</t>
  </si>
  <si>
    <t>Lane</t>
  </si>
  <si>
    <t>Binner</t>
  </si>
  <si>
    <t>BELLEVUE</t>
  </si>
  <si>
    <t>Rockford</t>
  </si>
  <si>
    <t>Dionne</t>
  </si>
  <si>
    <t>Karus</t>
  </si>
  <si>
    <t>HOLSTEIN</t>
  </si>
  <si>
    <t>Jāmpur</t>
  </si>
  <si>
    <t>Marquita</t>
  </si>
  <si>
    <t>Oxbe</t>
  </si>
  <si>
    <t>Juḩr ad Dīk</t>
  </si>
  <si>
    <t>Datha</t>
  </si>
  <si>
    <t>Tolle</t>
  </si>
  <si>
    <t>Zaslawye</t>
  </si>
  <si>
    <t>Toma</t>
  </si>
  <si>
    <t>Priter</t>
  </si>
  <si>
    <t>Voskopojë</t>
  </si>
  <si>
    <t>Marcelo</t>
  </si>
  <si>
    <t>Basil</t>
  </si>
  <si>
    <t>LOYAL</t>
  </si>
  <si>
    <t>Pysznica</t>
  </si>
  <si>
    <t>Rasla</t>
  </si>
  <si>
    <t>Gilberthorpe</t>
  </si>
  <si>
    <t>Bindura</t>
  </si>
  <si>
    <t>Miguela</t>
  </si>
  <si>
    <t>Besset</t>
  </si>
  <si>
    <t>Rudnichnyy</t>
  </si>
  <si>
    <t>Tucker</t>
  </si>
  <si>
    <t>Brundill</t>
  </si>
  <si>
    <t>Zaoshi</t>
  </si>
  <si>
    <t>Vida</t>
  </si>
  <si>
    <t>Wessel</t>
  </si>
  <si>
    <t>LAYAYETTE</t>
  </si>
  <si>
    <t>Czernice Borowe</t>
  </si>
  <si>
    <t>Ina</t>
  </si>
  <si>
    <t>Esh</t>
  </si>
  <si>
    <t>Gukovo</t>
  </si>
  <si>
    <t>Lyndsie</t>
  </si>
  <si>
    <t>Nother</t>
  </si>
  <si>
    <t>T’et’ri Tsqaro</t>
  </si>
  <si>
    <t>Quent</t>
  </si>
  <si>
    <t>Cullity</t>
  </si>
  <si>
    <t>Cabatuan</t>
  </si>
  <si>
    <t>Gare</t>
  </si>
  <si>
    <t>Bennit</t>
  </si>
  <si>
    <t>Judita</t>
  </si>
  <si>
    <t>Jackelyn</t>
  </si>
  <si>
    <t>Stonelake</t>
  </si>
  <si>
    <t>Eloúnda</t>
  </si>
  <si>
    <t>Renie</t>
  </si>
  <si>
    <t>Venneur</t>
  </si>
  <si>
    <t>HICKSVILLE</t>
  </si>
  <si>
    <t>Vyritsa</t>
  </si>
  <si>
    <t>Rockwell</t>
  </si>
  <si>
    <t>Bauldry</t>
  </si>
  <si>
    <t>TONGANOXIE</t>
  </si>
  <si>
    <t>Bergen op Zoom</t>
  </si>
  <si>
    <t>Cam</t>
  </si>
  <si>
    <t>Fanner</t>
  </si>
  <si>
    <t>Américo Brasiliense</t>
  </si>
  <si>
    <t>Lock</t>
  </si>
  <si>
    <t>Sworne</t>
  </si>
  <si>
    <t>Capioví</t>
  </si>
  <si>
    <t>Ethan</t>
  </si>
  <si>
    <t>MacAllan</t>
  </si>
  <si>
    <t>COLMA</t>
  </si>
  <si>
    <t>Chuncheon</t>
  </si>
  <si>
    <t>Simone</t>
  </si>
  <si>
    <t>Guslon</t>
  </si>
  <si>
    <t>Liutan</t>
  </si>
  <si>
    <t>Martainn</t>
  </si>
  <si>
    <t>Eadie</t>
  </si>
  <si>
    <t>Darovskoy</t>
  </si>
  <si>
    <t>McLaverty</t>
  </si>
  <si>
    <t>Toutuo</t>
  </si>
  <si>
    <t>Britte</t>
  </si>
  <si>
    <t>Scott</t>
  </si>
  <si>
    <t>TULSA</t>
  </si>
  <si>
    <t>Solnechnogorsk</t>
  </si>
  <si>
    <t>Glenn</t>
  </si>
  <si>
    <t>Klimus</t>
  </si>
  <si>
    <t>Forquilhinha</t>
  </si>
  <si>
    <t>Sigvard</t>
  </si>
  <si>
    <t>Hellens</t>
  </si>
  <si>
    <t>Banjar Bias</t>
  </si>
  <si>
    <t>Darleen</t>
  </si>
  <si>
    <t>Craddock</t>
  </si>
  <si>
    <t>Elvis</t>
  </si>
  <si>
    <t>Paull</t>
  </si>
  <si>
    <t>Mahalapye</t>
  </si>
  <si>
    <t>Dyane</t>
  </si>
  <si>
    <t>Brugden</t>
  </si>
  <si>
    <t>NEW CASTLE</t>
  </si>
  <si>
    <t>Mogoditshane</t>
  </si>
  <si>
    <t>Danyette</t>
  </si>
  <si>
    <t>Scragg</t>
  </si>
  <si>
    <t>Kimhae</t>
  </si>
  <si>
    <t>Imojean</t>
  </si>
  <si>
    <t>Harman</t>
  </si>
  <si>
    <t>Minglanilla</t>
  </si>
  <si>
    <t>Benoite</t>
  </si>
  <si>
    <t>Coche</t>
  </si>
  <si>
    <t>WILLIAMSTOWN</t>
  </si>
  <si>
    <t>Blagoevgrad</t>
  </si>
  <si>
    <t>Cariotta</t>
  </si>
  <si>
    <t>Baudouin</t>
  </si>
  <si>
    <t>Sumbergayam</t>
  </si>
  <si>
    <t>Neal</t>
  </si>
  <si>
    <t>Low</t>
  </si>
  <si>
    <t>PAGOSA SPRINGS</t>
  </si>
  <si>
    <t>Cabañas</t>
  </si>
  <si>
    <t>Bondy</t>
  </si>
  <si>
    <t>Alenin</t>
  </si>
  <si>
    <t>Sibby</t>
  </si>
  <si>
    <t>Stilly</t>
  </si>
  <si>
    <t>WELLINGTON</t>
  </si>
  <si>
    <t>Yongjiahe</t>
  </si>
  <si>
    <t>Iorgo</t>
  </si>
  <si>
    <t>Confait</t>
  </si>
  <si>
    <t>Daiyue</t>
  </si>
  <si>
    <t>Celina</t>
  </si>
  <si>
    <t>Lambert-Ciorwyn</t>
  </si>
  <si>
    <t>POSEYVILLE</t>
  </si>
  <si>
    <t>Kamloops</t>
  </si>
  <si>
    <t>Etheline</t>
  </si>
  <si>
    <t>Mival</t>
  </si>
  <si>
    <t>Sychëvo</t>
  </si>
  <si>
    <t>Marylou</t>
  </si>
  <si>
    <t>Hallas</t>
  </si>
  <si>
    <t>Port Antonio</t>
  </si>
  <si>
    <t>Onfre</t>
  </si>
  <si>
    <t>Chatters</t>
  </si>
  <si>
    <t>LOS ANGELES</t>
  </si>
  <si>
    <t>Verkhniy Baskunchak</t>
  </si>
  <si>
    <t>Clement</t>
  </si>
  <si>
    <t>Ballard</t>
  </si>
  <si>
    <t>CLARINDA</t>
  </si>
  <si>
    <t>Kaum</t>
  </si>
  <si>
    <t>Corenda</t>
  </si>
  <si>
    <t>Copnar</t>
  </si>
  <si>
    <t>Petrikov</t>
  </si>
  <si>
    <t>Mahala</t>
  </si>
  <si>
    <t>Casaro</t>
  </si>
  <si>
    <t>Lac La Biche</t>
  </si>
  <si>
    <t>Vicki</t>
  </si>
  <si>
    <t>Floyed</t>
  </si>
  <si>
    <t>Andapa</t>
  </si>
  <si>
    <t>Iosep</t>
  </si>
  <si>
    <t>Vahey</t>
  </si>
  <si>
    <t>STORM LAKE</t>
  </si>
  <si>
    <t>Sedandang</t>
  </si>
  <si>
    <t>Annis</t>
  </si>
  <si>
    <t>Landeaux</t>
  </si>
  <si>
    <t>PELL CITY</t>
  </si>
  <si>
    <t>Warren</t>
  </si>
  <si>
    <t>Ashli</t>
  </si>
  <si>
    <t>Seago</t>
  </si>
  <si>
    <t>MILTON</t>
  </si>
  <si>
    <t>Yên Bái</t>
  </si>
  <si>
    <t>Ashlee</t>
  </si>
  <si>
    <t>Savine</t>
  </si>
  <si>
    <t>Emiliano Zapata</t>
  </si>
  <si>
    <t>Haroun</t>
  </si>
  <si>
    <t>cornhill</t>
  </si>
  <si>
    <t>BENSON</t>
  </si>
  <si>
    <t>Bueng Kum</t>
  </si>
  <si>
    <t>Pen</t>
  </si>
  <si>
    <t>Gregoire</t>
  </si>
  <si>
    <t>Qinhong</t>
  </si>
  <si>
    <t>Linnell</t>
  </si>
  <si>
    <t>Minshull</t>
  </si>
  <si>
    <t>ALHAMBRA</t>
  </si>
  <si>
    <t>Arman</t>
  </si>
  <si>
    <t>Sheehan</t>
  </si>
  <si>
    <t>Tilang</t>
  </si>
  <si>
    <t>Allyson</t>
  </si>
  <si>
    <t>Whorton</t>
  </si>
  <si>
    <t>EUREKA SPRINGS</t>
  </si>
  <si>
    <t>Hezheng Chengguanzhen</t>
  </si>
  <si>
    <t>Tony</t>
  </si>
  <si>
    <t>Mendenhall</t>
  </si>
  <si>
    <t>Niitsu-honchō</t>
  </si>
  <si>
    <t>Sergeant</t>
  </si>
  <si>
    <t>Lethbridge</t>
  </si>
  <si>
    <t>Guanqian</t>
  </si>
  <si>
    <t>Maximilien</t>
  </si>
  <si>
    <t>Kobelt</t>
  </si>
  <si>
    <t>ROCKVILLE</t>
  </si>
  <si>
    <t>Roanoke</t>
  </si>
  <si>
    <t>Adela</t>
  </si>
  <si>
    <t>Allaway</t>
  </si>
  <si>
    <t>HELENA</t>
  </si>
  <si>
    <t>Jianshe</t>
  </si>
  <si>
    <t>Corinna</t>
  </si>
  <si>
    <t>Imort</t>
  </si>
  <si>
    <t>MARLOW</t>
  </si>
  <si>
    <t>Pewel Wielka</t>
  </si>
  <si>
    <t>Muire</t>
  </si>
  <si>
    <t>Tesauro</t>
  </si>
  <si>
    <t>COLUMBUS</t>
  </si>
  <si>
    <t>Turka</t>
  </si>
  <si>
    <t>Cyrus</t>
  </si>
  <si>
    <t>Stockford</t>
  </si>
  <si>
    <t>HILLSBORO</t>
  </si>
  <si>
    <t>São Pedro de Muel</t>
  </si>
  <si>
    <t>Emily</t>
  </si>
  <si>
    <t>Teare</t>
  </si>
  <si>
    <t>Jijiazhuang</t>
  </si>
  <si>
    <t>Guthrie</t>
  </si>
  <si>
    <t>Phare</t>
  </si>
  <si>
    <t>Concordia</t>
  </si>
  <si>
    <t>Wallis</t>
  </si>
  <si>
    <t>Geroldo</t>
  </si>
  <si>
    <t>Aco</t>
  </si>
  <si>
    <t>Hedvig</t>
  </si>
  <si>
    <t>Admans</t>
  </si>
  <si>
    <t>FULDA</t>
  </si>
  <si>
    <t>New Haven</t>
  </si>
  <si>
    <t>Alf</t>
  </si>
  <si>
    <t>Wanstall</t>
  </si>
  <si>
    <t>BUFFALO</t>
  </si>
  <si>
    <t>Kanazawa-shi</t>
  </si>
  <si>
    <t>Sunny</t>
  </si>
  <si>
    <t>Ship</t>
  </si>
  <si>
    <t>Egindiköl</t>
  </si>
  <si>
    <t>Wyatan</t>
  </si>
  <si>
    <t>O'Gready</t>
  </si>
  <si>
    <t>Lampihung</t>
  </si>
  <si>
    <t>Orsola</t>
  </si>
  <si>
    <t>Vynall</t>
  </si>
  <si>
    <t>EMDEN</t>
  </si>
  <si>
    <t>Shawnee Mission</t>
  </si>
  <si>
    <t>Aron</t>
  </si>
  <si>
    <t>Wimlet</t>
  </si>
  <si>
    <t>Raci Kulon</t>
  </si>
  <si>
    <t>Robinet</t>
  </si>
  <si>
    <t>Itzkovwitch</t>
  </si>
  <si>
    <t>DENVER</t>
  </si>
  <si>
    <t>Luthu</t>
  </si>
  <si>
    <t>Pearl</t>
  </si>
  <si>
    <t>Heineke</t>
  </si>
  <si>
    <t>Lasiana</t>
  </si>
  <si>
    <t>Hy</t>
  </si>
  <si>
    <t>McColley</t>
  </si>
  <si>
    <t>Jiaowei</t>
  </si>
  <si>
    <t>Maxie</t>
  </si>
  <si>
    <t>Aisbett</t>
  </si>
  <si>
    <t>KIESTER</t>
  </si>
  <si>
    <t>Yezhu</t>
  </si>
  <si>
    <t>Graham</t>
  </si>
  <si>
    <t>Kinnaird</t>
  </si>
  <si>
    <t>Krajan Winong</t>
  </si>
  <si>
    <t>Kylie</t>
  </si>
  <si>
    <t>Dyers</t>
  </si>
  <si>
    <t>Azua</t>
  </si>
  <si>
    <t>Seumas</t>
  </si>
  <si>
    <t>Benezeit</t>
  </si>
  <si>
    <t>Błędów</t>
  </si>
  <si>
    <t>Amby</t>
  </si>
  <si>
    <t>Cubin</t>
  </si>
  <si>
    <t>DOZIER</t>
  </si>
  <si>
    <t>Thị Trấn Nước Hai</t>
  </si>
  <si>
    <t>Dix</t>
  </si>
  <si>
    <t>Gosforth</t>
  </si>
  <si>
    <t>COLUMBIA</t>
  </si>
  <si>
    <t>Xindong</t>
  </si>
  <si>
    <t>Weider</t>
  </si>
  <si>
    <t>MacKenzie</t>
  </si>
  <si>
    <t>Poste du Lac</t>
  </si>
  <si>
    <t>Zeb</t>
  </si>
  <si>
    <t>Nelthrop</t>
  </si>
  <si>
    <t>Masaran</t>
  </si>
  <si>
    <t>Noelyn</t>
  </si>
  <si>
    <t>Boutcher</t>
  </si>
  <si>
    <t>Charlesland</t>
  </si>
  <si>
    <t>Astrix</t>
  </si>
  <si>
    <t>Hardware</t>
  </si>
  <si>
    <t>TALLADEGA</t>
  </si>
  <si>
    <t>Yemva</t>
  </si>
  <si>
    <t>Shina</t>
  </si>
  <si>
    <t>Bosson</t>
  </si>
  <si>
    <t>Fermelã</t>
  </si>
  <si>
    <t>Pinwell</t>
  </si>
  <si>
    <t>Ngangguk</t>
  </si>
  <si>
    <t>Ethyl</t>
  </si>
  <si>
    <t>Boggs</t>
  </si>
  <si>
    <t>Sīlat al Ḩārithīyah</t>
  </si>
  <si>
    <t>Cate</t>
  </si>
  <si>
    <t>Scotchmore</t>
  </si>
  <si>
    <t>BATTLE LAKE</t>
  </si>
  <si>
    <t>Celorico de Basto</t>
  </si>
  <si>
    <t>Cthrine</t>
  </si>
  <si>
    <t>Whife</t>
  </si>
  <si>
    <t>WORCESTER</t>
  </si>
  <si>
    <t>Buta Ranquil</t>
  </si>
  <si>
    <t>Rivy</t>
  </si>
  <si>
    <t>Taffurelli</t>
  </si>
  <si>
    <t>Naples</t>
  </si>
  <si>
    <t>Franciskus</t>
  </si>
  <si>
    <t>Dumphry</t>
  </si>
  <si>
    <t>WACO</t>
  </si>
  <si>
    <t>Parakou</t>
  </si>
  <si>
    <t>Dale</t>
  </si>
  <si>
    <t>Beveridge</t>
  </si>
  <si>
    <t>SOUTH WINDSOR</t>
  </si>
  <si>
    <t>Úštěk</t>
  </si>
  <si>
    <t>Leroi</t>
  </si>
  <si>
    <t>Kroin</t>
  </si>
  <si>
    <t>Dajanrurung</t>
  </si>
  <si>
    <t>Tonnie</t>
  </si>
  <si>
    <t>Tomeo</t>
  </si>
  <si>
    <t>BROWNSTOWN</t>
  </si>
  <si>
    <t>Ouaoula</t>
  </si>
  <si>
    <t>Naoma</t>
  </si>
  <si>
    <t>Streeting</t>
  </si>
  <si>
    <t>BOONEVILLE</t>
  </si>
  <si>
    <t>Byron</t>
  </si>
  <si>
    <t>Farrans</t>
  </si>
  <si>
    <t>Kuybyshevo</t>
  </si>
  <si>
    <t>Hortense</t>
  </si>
  <si>
    <t>Champkins</t>
  </si>
  <si>
    <t>Lumbac</t>
  </si>
  <si>
    <t>Fabio</t>
  </si>
  <si>
    <t>Degue</t>
  </si>
  <si>
    <t>Parigi</t>
  </si>
  <si>
    <t>Griffin</t>
  </si>
  <si>
    <t>Dog</t>
  </si>
  <si>
    <t>Valado dos Frades</t>
  </si>
  <si>
    <t>Vernice</t>
  </si>
  <si>
    <t>Chadd</t>
  </si>
  <si>
    <t>San Agustin</t>
  </si>
  <si>
    <t>Elihu</t>
  </si>
  <si>
    <t>Haynes</t>
  </si>
  <si>
    <t>JACKSON</t>
  </si>
  <si>
    <t>Pākpattan</t>
  </si>
  <si>
    <t>Dave</t>
  </si>
  <si>
    <t>Tumelty</t>
  </si>
  <si>
    <t>Sarilhos Grandes</t>
  </si>
  <si>
    <t>Linette</t>
  </si>
  <si>
    <t>Spearing</t>
  </si>
  <si>
    <t>MILFORD</t>
  </si>
  <si>
    <t>Bertha</t>
  </si>
  <si>
    <t>Timewell</t>
  </si>
  <si>
    <t>Misungwi</t>
  </si>
  <si>
    <t>Jeni</t>
  </si>
  <si>
    <t>Turfs</t>
  </si>
  <si>
    <t>HOUSTON</t>
  </si>
  <si>
    <t>Jichang</t>
  </si>
  <si>
    <t>Cecilius</t>
  </si>
  <si>
    <t>Heel</t>
  </si>
  <si>
    <t>Złota</t>
  </si>
  <si>
    <t>Jens</t>
  </si>
  <si>
    <t>Haet</t>
  </si>
  <si>
    <t>MENA</t>
  </si>
  <si>
    <t>Lesuhe</t>
  </si>
  <si>
    <t>Fawne</t>
  </si>
  <si>
    <t>MacKellar</t>
  </si>
  <si>
    <t>JUNCTION</t>
  </si>
  <si>
    <t>Nossa Senhora da Glória</t>
  </si>
  <si>
    <t>Townie</t>
  </si>
  <si>
    <t>Smouten</t>
  </si>
  <si>
    <t>Sundbyberg</t>
  </si>
  <si>
    <t>Analise</t>
  </si>
  <si>
    <t>Matterface</t>
  </si>
  <si>
    <t>Vođinci</t>
  </si>
  <si>
    <t>Charmion</t>
  </si>
  <si>
    <t>Wawer</t>
  </si>
  <si>
    <t>CANTON</t>
  </si>
  <si>
    <t>Passo Fundo</t>
  </si>
  <si>
    <t>Harriet</t>
  </si>
  <si>
    <t>Fleeming</t>
  </si>
  <si>
    <t>Pechora</t>
  </si>
  <si>
    <t>Rochella</t>
  </si>
  <si>
    <t>Corten</t>
  </si>
  <si>
    <t>Mandapajaya</t>
  </si>
  <si>
    <t>Kit</t>
  </si>
  <si>
    <t>Bitterton</t>
  </si>
  <si>
    <t>Fahraj</t>
  </si>
  <si>
    <t>Bertot</t>
  </si>
  <si>
    <t>MOUNTAIN CITY</t>
  </si>
  <si>
    <t>Bāglung</t>
  </si>
  <si>
    <t>Cathee</t>
  </si>
  <si>
    <t>Ferrer</t>
  </si>
  <si>
    <t>SAN JUAN</t>
  </si>
  <si>
    <t>Villa Carlos Paz</t>
  </si>
  <si>
    <t>Joy</t>
  </si>
  <si>
    <t>Lowen</t>
  </si>
  <si>
    <t>KILLEEN</t>
  </si>
  <si>
    <t>Kovářov</t>
  </si>
  <si>
    <t>Fitzgerald</t>
  </si>
  <si>
    <t>Rowaszkiewicz</t>
  </si>
  <si>
    <t>Shihuajian</t>
  </si>
  <si>
    <t>Nathalie</t>
  </si>
  <si>
    <t>Horsfield</t>
  </si>
  <si>
    <t>AMHERST</t>
  </si>
  <si>
    <t>Maoqitun</t>
  </si>
  <si>
    <t>Florinda</t>
  </si>
  <si>
    <t>Chamberlaine</t>
  </si>
  <si>
    <t>LE CENTER</t>
  </si>
  <si>
    <t>Ust’-Ulagan</t>
  </si>
  <si>
    <t>Leontyne</t>
  </si>
  <si>
    <t>Menlow</t>
  </si>
  <si>
    <t>Eira da Pedra</t>
  </si>
  <si>
    <t>Alenikov</t>
  </si>
  <si>
    <t>RAYMORE</t>
  </si>
  <si>
    <t>København</t>
  </si>
  <si>
    <t>Alysa</t>
  </si>
  <si>
    <t>Goreway</t>
  </si>
  <si>
    <t>Lunel</t>
  </si>
  <si>
    <t>Joachim</t>
  </si>
  <si>
    <t>Seven</t>
  </si>
  <si>
    <t>HAYWARD</t>
  </si>
  <si>
    <t>Pasarkayu</t>
  </si>
  <si>
    <t>Portingale</t>
  </si>
  <si>
    <t>Tarata</t>
  </si>
  <si>
    <t>Trudy</t>
  </si>
  <si>
    <t>Heaffey</t>
  </si>
  <si>
    <t>Nong Phok</t>
  </si>
  <si>
    <t>Jena</t>
  </si>
  <si>
    <t>Bolan</t>
  </si>
  <si>
    <t>San Francisco</t>
  </si>
  <si>
    <t>Myrah</t>
  </si>
  <si>
    <t>Laxon</t>
  </si>
  <si>
    <t>Jaine</t>
  </si>
  <si>
    <t>Shearmur</t>
  </si>
  <si>
    <t>Santa Eulalia</t>
  </si>
  <si>
    <t>Carol-jean</t>
  </si>
  <si>
    <t>Burgiss</t>
  </si>
  <si>
    <t>Yashiro</t>
  </si>
  <si>
    <t>Robbyn</t>
  </si>
  <si>
    <t>Grosier</t>
  </si>
  <si>
    <t>Alajuela</t>
  </si>
  <si>
    <t>Stephannie</t>
  </si>
  <si>
    <t>Hutchens</t>
  </si>
  <si>
    <t>Chuangwang</t>
  </si>
  <si>
    <t>Dugald</t>
  </si>
  <si>
    <t>De Witt</t>
  </si>
  <si>
    <t>BLAIRSVILLE</t>
  </si>
  <si>
    <t>Xiashan</t>
  </si>
  <si>
    <t>Jenelle</t>
  </si>
  <si>
    <t>Harding</t>
  </si>
  <si>
    <t>RUTHER GLEN</t>
  </si>
  <si>
    <t>Várzea</t>
  </si>
  <si>
    <t>Eliza</t>
  </si>
  <si>
    <t>Zanicchelli</t>
  </si>
  <si>
    <t>COMMERCE</t>
  </si>
  <si>
    <t>Néos Skopós</t>
  </si>
  <si>
    <t>Gratiana</t>
  </si>
  <si>
    <t>Marcinkowski</t>
  </si>
  <si>
    <t>Cipanjang</t>
  </si>
  <si>
    <t>Sudddard</t>
  </si>
  <si>
    <t>DAVID CITY</t>
  </si>
  <si>
    <t>Notsé</t>
  </si>
  <si>
    <t>Tristan</t>
  </si>
  <si>
    <t>Wozencraft</t>
  </si>
  <si>
    <t>HEBBRONVILLE</t>
  </si>
  <si>
    <t>Pingtian</t>
  </si>
  <si>
    <t>Shoshanna</t>
  </si>
  <si>
    <t>Chittey</t>
  </si>
  <si>
    <t>Quibal</t>
  </si>
  <si>
    <t>Tobin</t>
  </si>
  <si>
    <t>Venediktov</t>
  </si>
  <si>
    <t>MACON</t>
  </si>
  <si>
    <t>Leles</t>
  </si>
  <si>
    <t>Fern</t>
  </si>
  <si>
    <t>Spread</t>
  </si>
  <si>
    <t>Edissiya</t>
  </si>
  <si>
    <t>Main</t>
  </si>
  <si>
    <t>CENTER</t>
  </si>
  <si>
    <t>Tivat</t>
  </si>
  <si>
    <t>Piper</t>
  </si>
  <si>
    <t>Gockeler</t>
  </si>
  <si>
    <t>Savonranta</t>
  </si>
  <si>
    <t>Darwin</t>
  </si>
  <si>
    <t>Jarville</t>
  </si>
  <si>
    <t>ASHLAND</t>
  </si>
  <si>
    <t>Balibagan Oeste</t>
  </si>
  <si>
    <t>Lexy</t>
  </si>
  <si>
    <t>Heinzler</t>
  </si>
  <si>
    <t>Munturkaju</t>
  </si>
  <si>
    <t>Yvette</t>
  </si>
  <si>
    <t>Tedahl</t>
  </si>
  <si>
    <t>Yashao</t>
  </si>
  <si>
    <t>Derick</t>
  </si>
  <si>
    <t>Twitty</t>
  </si>
  <si>
    <t>Jielong</t>
  </si>
  <si>
    <t>Kristine</t>
  </si>
  <si>
    <t>Millea</t>
  </si>
  <si>
    <t>Cheping</t>
  </si>
  <si>
    <t>Glenden</t>
  </si>
  <si>
    <t>Hulkes</t>
  </si>
  <si>
    <t>DEQUEEN</t>
  </si>
  <si>
    <t>Santa Inês</t>
  </si>
  <si>
    <t>Brigitta</t>
  </si>
  <si>
    <t>Bristoe</t>
  </si>
  <si>
    <t>Daji</t>
  </si>
  <si>
    <t>Jacquenetta</t>
  </si>
  <si>
    <t>Assad</t>
  </si>
  <si>
    <t>Shibetsu</t>
  </si>
  <si>
    <t>Cosme</t>
  </si>
  <si>
    <t>Wabb</t>
  </si>
  <si>
    <t>Buerarema</t>
  </si>
  <si>
    <t>Garrish</t>
  </si>
  <si>
    <t>Masindi</t>
  </si>
  <si>
    <t>Shirleen</t>
  </si>
  <si>
    <t>Crinidge</t>
  </si>
  <si>
    <t>PRATT</t>
  </si>
  <si>
    <t>Kwolla</t>
  </si>
  <si>
    <t>Jakie</t>
  </si>
  <si>
    <t>Skitteral</t>
  </si>
  <si>
    <t>Bolembre</t>
  </si>
  <si>
    <t>Padraig</t>
  </si>
  <si>
    <t>Brooke</t>
  </si>
  <si>
    <t>BLOOMINGTON</t>
  </si>
  <si>
    <t>Östersund</t>
  </si>
  <si>
    <t>Broderick</t>
  </si>
  <si>
    <t>Yankeev</t>
  </si>
  <si>
    <t>Rancho Viejo</t>
  </si>
  <si>
    <t>Bernete</t>
  </si>
  <si>
    <t>Curtoys</t>
  </si>
  <si>
    <t>BELLEVILLE</t>
  </si>
  <si>
    <t>Hokor</t>
  </si>
  <si>
    <t>Norby</t>
  </si>
  <si>
    <t>Cardew</t>
  </si>
  <si>
    <t>Dadu</t>
  </si>
  <si>
    <t>Shanna</t>
  </si>
  <si>
    <t>Cashford</t>
  </si>
  <si>
    <t>Rostov</t>
  </si>
  <si>
    <t>Francklyn</t>
  </si>
  <si>
    <t>Keeler</t>
  </si>
  <si>
    <t>Rawuk</t>
  </si>
  <si>
    <t>Othilia</t>
  </si>
  <si>
    <t>Burrells</t>
  </si>
  <si>
    <t>Gelgaudiškis</t>
  </si>
  <si>
    <t>Berkie</t>
  </si>
  <si>
    <t>Feckey</t>
  </si>
  <si>
    <t>PINE BLUFF</t>
  </si>
  <si>
    <t>Tangcun</t>
  </si>
  <si>
    <t>Glennie</t>
  </si>
  <si>
    <t>Sarten</t>
  </si>
  <si>
    <t>BLUE EARTH</t>
  </si>
  <si>
    <t>Bazi</t>
  </si>
  <si>
    <t>Lawton</t>
  </si>
  <si>
    <t>Sclater</t>
  </si>
  <si>
    <t>Péfki</t>
  </si>
  <si>
    <t>Rosabel</t>
  </si>
  <si>
    <t>Jacquet</t>
  </si>
  <si>
    <t>Yanhu</t>
  </si>
  <si>
    <t>Torie</t>
  </si>
  <si>
    <t>Skeldinge</t>
  </si>
  <si>
    <t>San Antonio</t>
  </si>
  <si>
    <t>Lorry</t>
  </si>
  <si>
    <t>CHISHOLM</t>
  </si>
  <si>
    <t>Mkushi</t>
  </si>
  <si>
    <t>Marna</t>
  </si>
  <si>
    <t>Lamp</t>
  </si>
  <si>
    <t>Ccuntuma</t>
  </si>
  <si>
    <t>Pierette</t>
  </si>
  <si>
    <t>De Angelis</t>
  </si>
  <si>
    <t>RIVERSIDE</t>
  </si>
  <si>
    <t>Kudusan</t>
  </si>
  <si>
    <t>Sherebrooke</t>
  </si>
  <si>
    <t>Daxing</t>
  </si>
  <si>
    <t>Bear</t>
  </si>
  <si>
    <t>Utteridge</t>
  </si>
  <si>
    <t>Glinojeck</t>
  </si>
  <si>
    <t>Ana</t>
  </si>
  <si>
    <t>Lucas</t>
  </si>
  <si>
    <t>Zalaegerszeg</t>
  </si>
  <si>
    <t>Barbabra</t>
  </si>
  <si>
    <t>Soal</t>
  </si>
  <si>
    <t>Jinqu</t>
  </si>
  <si>
    <t>Sadie</t>
  </si>
  <si>
    <t>Fairholm</t>
  </si>
  <si>
    <t>Caujul</t>
  </si>
  <si>
    <t>Rowen</t>
  </si>
  <si>
    <t>Grennan</t>
  </si>
  <si>
    <t>Shaoha</t>
  </si>
  <si>
    <t>Genny</t>
  </si>
  <si>
    <t>Spaldin</t>
  </si>
  <si>
    <t>STARKVILLE</t>
  </si>
  <si>
    <t>Gjoçaj</t>
  </si>
  <si>
    <t>Emogene</t>
  </si>
  <si>
    <t>Gimson</t>
  </si>
  <si>
    <t>Daduchuan</t>
  </si>
  <si>
    <t>Bob</t>
  </si>
  <si>
    <t>Orys</t>
  </si>
  <si>
    <t>Tonie</t>
  </si>
  <si>
    <t>Girauld</t>
  </si>
  <si>
    <t>Selaphum</t>
  </si>
  <si>
    <t>Cody</t>
  </si>
  <si>
    <t>Hardaker</t>
  </si>
  <si>
    <t>Punsu</t>
  </si>
  <si>
    <t>Brook</t>
  </si>
  <si>
    <t>D'Ambrogio</t>
  </si>
  <si>
    <t>MAYWOOD</t>
  </si>
  <si>
    <t>Bussum</t>
  </si>
  <si>
    <t>Sibel</t>
  </si>
  <si>
    <t>Craney</t>
  </si>
  <si>
    <t>Ciseuseupan</t>
  </si>
  <si>
    <t>Constanta</t>
  </si>
  <si>
    <t>Diplock</t>
  </si>
  <si>
    <t>Banyubang</t>
  </si>
  <si>
    <t>Thorstein</t>
  </si>
  <si>
    <t>Snowman</t>
  </si>
  <si>
    <t>Heshan</t>
  </si>
  <si>
    <t>Lise</t>
  </si>
  <si>
    <t>Eickhoff</t>
  </si>
  <si>
    <t>Sibayo</t>
  </si>
  <si>
    <t>Micheil</t>
  </si>
  <si>
    <t>Denison</t>
  </si>
  <si>
    <t>Sułoszowa</t>
  </si>
  <si>
    <t>Marielle</t>
  </si>
  <si>
    <t>Terzi</t>
  </si>
  <si>
    <t>Khasht’arrak</t>
  </si>
  <si>
    <t>Minni</t>
  </si>
  <si>
    <t>Yarrow</t>
  </si>
  <si>
    <t>Bayt Dajan</t>
  </si>
  <si>
    <t>Meryl</t>
  </si>
  <si>
    <t>Selburn</t>
  </si>
  <si>
    <t>Weekaka</t>
  </si>
  <si>
    <t>Lorianna</t>
  </si>
  <si>
    <t>Bethell</t>
  </si>
  <si>
    <t>HARRISBURG</t>
  </si>
  <si>
    <t>Santol</t>
  </si>
  <si>
    <t>Benoit</t>
  </si>
  <si>
    <t>Gomersall</t>
  </si>
  <si>
    <t>OKARCHE</t>
  </si>
  <si>
    <t>Isabela</t>
  </si>
  <si>
    <t>Danit</t>
  </si>
  <si>
    <t>Ram</t>
  </si>
  <si>
    <t>GAINESVILLE</t>
  </si>
  <si>
    <t>Gavrilov-Yam</t>
  </si>
  <si>
    <t>Brittaney</t>
  </si>
  <si>
    <t>Cantera</t>
  </si>
  <si>
    <t>San Bernardino</t>
  </si>
  <si>
    <t>Lamborne</t>
  </si>
  <si>
    <t>Huanggexi</t>
  </si>
  <si>
    <t>Felicle</t>
  </si>
  <si>
    <t>Mapstone</t>
  </si>
  <si>
    <t>Patani</t>
  </si>
  <si>
    <t>Talbert</t>
  </si>
  <si>
    <t>Borchardt</t>
  </si>
  <si>
    <t>Täby</t>
  </si>
  <si>
    <t>Field</t>
  </si>
  <si>
    <t>Beels</t>
  </si>
  <si>
    <t>Nevel’</t>
  </si>
  <si>
    <t>Missenden</t>
  </si>
  <si>
    <t>JEFFERSON</t>
  </si>
  <si>
    <t>Kimry</t>
  </si>
  <si>
    <t>Xena</t>
  </si>
  <si>
    <t>Baggarley</t>
  </si>
  <si>
    <t>Laojiangjunjie</t>
  </si>
  <si>
    <t>France</t>
  </si>
  <si>
    <t>Lauro de Freitas</t>
  </si>
  <si>
    <t>Lurette</t>
  </si>
  <si>
    <t>Loynton</t>
  </si>
  <si>
    <t>Arroio Grande</t>
  </si>
  <si>
    <t>Calli</t>
  </si>
  <si>
    <t>Gagen</t>
  </si>
  <si>
    <t>Xishan</t>
  </si>
  <si>
    <t>Hillel</t>
  </si>
  <si>
    <t>Coton</t>
  </si>
  <si>
    <t>WYOMISSING</t>
  </si>
  <si>
    <t>Pines</t>
  </si>
  <si>
    <t>Guillaume</t>
  </si>
  <si>
    <t>Nudds</t>
  </si>
  <si>
    <t>NEW ORLEANS</t>
  </si>
  <si>
    <t>Čoka</t>
  </si>
  <si>
    <t>Elfreda</t>
  </si>
  <si>
    <t>Udie</t>
  </si>
  <si>
    <t>DRIPPING SPRINGS</t>
  </si>
  <si>
    <t>Gunjur Kuta</t>
  </si>
  <si>
    <t>Kermie</t>
  </si>
  <si>
    <t>Nequest</t>
  </si>
  <si>
    <t>TAYLOR</t>
  </si>
  <si>
    <t>Al Mālikīyah</t>
  </si>
  <si>
    <t>Ewbanche</t>
  </si>
  <si>
    <t>Sekampung</t>
  </si>
  <si>
    <t>Marshal</t>
  </si>
  <si>
    <t>Beentjes</t>
  </si>
  <si>
    <t>Yaxi</t>
  </si>
  <si>
    <t>Antonius</t>
  </si>
  <si>
    <t>Balassa</t>
  </si>
  <si>
    <t>PHILLIPSBURG</t>
  </si>
  <si>
    <t>Sugihwaras</t>
  </si>
  <si>
    <t>Gilles</t>
  </si>
  <si>
    <t>Kubyszek</t>
  </si>
  <si>
    <t>Gualán</t>
  </si>
  <si>
    <t>Griz</t>
  </si>
  <si>
    <t>Ewbanke</t>
  </si>
  <si>
    <t>Bartolomé Masó</t>
  </si>
  <si>
    <t>Blondy</t>
  </si>
  <si>
    <t>Minico</t>
  </si>
  <si>
    <t>Jaboatão dos Guararapes</t>
  </si>
  <si>
    <t>Salomon</t>
  </si>
  <si>
    <t>Duckering</t>
  </si>
  <si>
    <t>HAYFIELD</t>
  </si>
  <si>
    <t>Mel’nikovo</t>
  </si>
  <si>
    <t>Ettore</t>
  </si>
  <si>
    <t>Raeside</t>
  </si>
  <si>
    <t>Phra Phutthabat</t>
  </si>
  <si>
    <t>Kassie</t>
  </si>
  <si>
    <t>Heers</t>
  </si>
  <si>
    <t>Nangalimang</t>
  </si>
  <si>
    <t>Vicky</t>
  </si>
  <si>
    <t>Illing</t>
  </si>
  <si>
    <t>Gur’yevsk</t>
  </si>
  <si>
    <t>Skippie</t>
  </si>
  <si>
    <t>Dauber</t>
  </si>
  <si>
    <t>Citundun</t>
  </si>
  <si>
    <t>Nicoli</t>
  </si>
  <si>
    <t>MacNalley</t>
  </si>
  <si>
    <t>Ciudad Bolívar</t>
  </si>
  <si>
    <t>Merlina</t>
  </si>
  <si>
    <t>Gillie</t>
  </si>
  <si>
    <t>Zhangjiafan</t>
  </si>
  <si>
    <t>Betteanne</t>
  </si>
  <si>
    <t>Howson</t>
  </si>
  <si>
    <t>ELMORE CITY</t>
  </si>
  <si>
    <t>Ondangwa</t>
  </si>
  <si>
    <t>Michaela</t>
  </si>
  <si>
    <t>Pallas</t>
  </si>
  <si>
    <t>Noailles</t>
  </si>
  <si>
    <t>Trudie</t>
  </si>
  <si>
    <t>Marris</t>
  </si>
  <si>
    <t>ABILENE</t>
  </si>
  <si>
    <t>Göteborg</t>
  </si>
  <si>
    <t>Cassius</t>
  </si>
  <si>
    <t>Tertre</t>
  </si>
  <si>
    <t>Vientiane</t>
  </si>
  <si>
    <t>Keen</t>
  </si>
  <si>
    <t>Conibear</t>
  </si>
  <si>
    <t>Russeifa</t>
  </si>
  <si>
    <t>Saunders</t>
  </si>
  <si>
    <t>Klezmski</t>
  </si>
  <si>
    <t>MOUNTAIN IRON</t>
  </si>
  <si>
    <t>Dengjia</t>
  </si>
  <si>
    <t>Trevor</t>
  </si>
  <si>
    <t>Taffee</t>
  </si>
  <si>
    <t>MARIETTA</t>
  </si>
  <si>
    <t>Mohandis</t>
  </si>
  <si>
    <t>Jepson</t>
  </si>
  <si>
    <t>Garden Grove</t>
  </si>
  <si>
    <t>Eddy</t>
  </si>
  <si>
    <t>Bragge</t>
  </si>
  <si>
    <t>CHAS</t>
  </si>
  <si>
    <t>Haruman</t>
  </si>
  <si>
    <t>Fallon</t>
  </si>
  <si>
    <t>Becom</t>
  </si>
  <si>
    <t>TREZEVANT</t>
  </si>
  <si>
    <t>Riangderi</t>
  </si>
  <si>
    <t>Marney</t>
  </si>
  <si>
    <t>Dain</t>
  </si>
  <si>
    <t>Rafaï</t>
  </si>
  <si>
    <t>Saidee</t>
  </si>
  <si>
    <t>Georgeon</t>
  </si>
  <si>
    <t>Serowe</t>
  </si>
  <si>
    <t>Anallese</t>
  </si>
  <si>
    <t>Klicher</t>
  </si>
  <si>
    <t>Kunwi</t>
  </si>
  <si>
    <t>Taffy</t>
  </si>
  <si>
    <t>Pothbury</t>
  </si>
  <si>
    <t>Bergen</t>
  </si>
  <si>
    <t>Timmy</t>
  </si>
  <si>
    <t>Smallacombe</t>
  </si>
  <si>
    <t>Greensboro</t>
  </si>
  <si>
    <t>Gilda</t>
  </si>
  <si>
    <t>Guerro</t>
  </si>
  <si>
    <t>Skoki</t>
  </si>
  <si>
    <t>Vasili</t>
  </si>
  <si>
    <t>Langmead</t>
  </si>
  <si>
    <t>Bojonggaling</t>
  </si>
  <si>
    <t>Consuela</t>
  </si>
  <si>
    <t>Fenty</t>
  </si>
  <si>
    <t>Benchu</t>
  </si>
  <si>
    <t>Calypso</t>
  </si>
  <si>
    <t>Lavrick</t>
  </si>
  <si>
    <t>HENDERSON</t>
  </si>
  <si>
    <t>Tymbark</t>
  </si>
  <si>
    <t>Homer</t>
  </si>
  <si>
    <t>Nortunen</t>
  </si>
  <si>
    <t>Bastos</t>
  </si>
  <si>
    <t>Daron</t>
  </si>
  <si>
    <t>Michieli</t>
  </si>
  <si>
    <t>OKLAHOMA CITY</t>
  </si>
  <si>
    <t>Głubczyce</t>
  </si>
  <si>
    <t>Hillyer</t>
  </si>
  <si>
    <t>Schiefersten</t>
  </si>
  <si>
    <t>HONDO</t>
  </si>
  <si>
    <t>Mlawe</t>
  </si>
  <si>
    <t>Orelle</t>
  </si>
  <si>
    <t>Hainsworth</t>
  </si>
  <si>
    <t>Akouda</t>
  </si>
  <si>
    <t>Farra</t>
  </si>
  <si>
    <t>Slader</t>
  </si>
  <si>
    <t>Kristiansand S</t>
  </si>
  <si>
    <t>Nicolais</t>
  </si>
  <si>
    <t>Aizlewood</t>
  </si>
  <si>
    <t>Nazaré</t>
  </si>
  <si>
    <t>Caughtry</t>
  </si>
  <si>
    <t>Stavanger</t>
  </si>
  <si>
    <t>Neille</t>
  </si>
  <si>
    <t>Roskelley</t>
  </si>
  <si>
    <t>Ami</t>
  </si>
  <si>
    <t>Dallis</t>
  </si>
  <si>
    <t>Apedaile</t>
  </si>
  <si>
    <t>SAN JOSE</t>
  </si>
  <si>
    <t>Călăraşi</t>
  </si>
  <si>
    <t>Halley</t>
  </si>
  <si>
    <t>Govier</t>
  </si>
  <si>
    <t>Bela Vista do Paraíso</t>
  </si>
  <si>
    <t>Sebastian</t>
  </si>
  <si>
    <t>Screase</t>
  </si>
  <si>
    <t>Tambak</t>
  </si>
  <si>
    <t>Durand</t>
  </si>
  <si>
    <t>Cawker</t>
  </si>
  <si>
    <t>Kallinge</t>
  </si>
  <si>
    <t>Sidney</t>
  </si>
  <si>
    <t>Critcher</t>
  </si>
  <si>
    <t>TYNDALL</t>
  </si>
  <si>
    <t>Longtan</t>
  </si>
  <si>
    <t>Herbie</t>
  </si>
  <si>
    <t>Reichelt</t>
  </si>
  <si>
    <t>Järna</t>
  </si>
  <si>
    <t>Abel</t>
  </si>
  <si>
    <t>Blaber</t>
  </si>
  <si>
    <t>BRUNDIDGE</t>
  </si>
  <si>
    <t>Qom</t>
  </si>
  <si>
    <t>Barry</t>
  </si>
  <si>
    <t>Wenden</t>
  </si>
  <si>
    <t>SEYMOUR</t>
  </si>
  <si>
    <t>Wangmang</t>
  </si>
  <si>
    <t>Luce</t>
  </si>
  <si>
    <t>Pavie</t>
  </si>
  <si>
    <t>BIRNAMWOOD</t>
  </si>
  <si>
    <t>Dalai</t>
  </si>
  <si>
    <t>Yank</t>
  </si>
  <si>
    <t>Fort Lauderdale</t>
  </si>
  <si>
    <t>Yancey</t>
  </si>
  <si>
    <t>Ternent</t>
  </si>
  <si>
    <t>Roi Et</t>
  </si>
  <si>
    <t>Winny</t>
  </si>
  <si>
    <t>Dunkersley</t>
  </si>
  <si>
    <t>ALEXANDRIA</t>
  </si>
  <si>
    <t>Gīvī</t>
  </si>
  <si>
    <t>Phillis</t>
  </si>
  <si>
    <t>Dwelley</t>
  </si>
  <si>
    <t>LOOMIS</t>
  </si>
  <si>
    <t>Lazaro Cardenas</t>
  </si>
  <si>
    <t>Ardis</t>
  </si>
  <si>
    <t>Parish</t>
  </si>
  <si>
    <t>Bratslav</t>
  </si>
  <si>
    <t>Wang</t>
  </si>
  <si>
    <t>Andrus</t>
  </si>
  <si>
    <t>ST CLOUD</t>
  </si>
  <si>
    <t>Otradnoye</t>
  </si>
  <si>
    <t>Michaeline</t>
  </si>
  <si>
    <t>Gallifont</t>
  </si>
  <si>
    <t>Pokrovskoye</t>
  </si>
  <si>
    <t>Enos</t>
  </si>
  <si>
    <t>Hassell</t>
  </si>
  <si>
    <t>Goranboy</t>
  </si>
  <si>
    <t>Eloise</t>
  </si>
  <si>
    <t>Tampin</t>
  </si>
  <si>
    <t>Gouxaria</t>
  </si>
  <si>
    <t>Tyrone</t>
  </si>
  <si>
    <t>Fetherstone</t>
  </si>
  <si>
    <t>Quintas</t>
  </si>
  <si>
    <t>Linus</t>
  </si>
  <si>
    <t>FitzAlan</t>
  </si>
  <si>
    <t>GREENSBURG</t>
  </si>
  <si>
    <t>St. Catharines</t>
  </si>
  <si>
    <t>Kermy</t>
  </si>
  <si>
    <t>Kettlestring</t>
  </si>
  <si>
    <t>SULLIVAN</t>
  </si>
  <si>
    <t>Kajar</t>
  </si>
  <si>
    <t>Daveta</t>
  </si>
  <si>
    <t>Grono</t>
  </si>
  <si>
    <t>Banbalah</t>
  </si>
  <si>
    <t>Burlie</t>
  </si>
  <si>
    <t>Renols</t>
  </si>
  <si>
    <t>JACINTO CITY</t>
  </si>
  <si>
    <t>Plovdiv</t>
  </si>
  <si>
    <t>Niel</t>
  </si>
  <si>
    <t>Bertwistle</t>
  </si>
  <si>
    <t>HOPE</t>
  </si>
  <si>
    <t>Xinyuan</t>
  </si>
  <si>
    <t>Forrest</t>
  </si>
  <si>
    <t>Pulford</t>
  </si>
  <si>
    <t>Johor Bahru</t>
  </si>
  <si>
    <t>Annamaria</t>
  </si>
  <si>
    <t>Frankum</t>
  </si>
  <si>
    <t>Higuerote</t>
  </si>
  <si>
    <t>Caroljean</t>
  </si>
  <si>
    <t>Feldmark</t>
  </si>
  <si>
    <t>Xiayang</t>
  </si>
  <si>
    <t>Wyn</t>
  </si>
  <si>
    <t>Joiner</t>
  </si>
  <si>
    <t>Circa</t>
  </si>
  <si>
    <t>Elwyn</t>
  </si>
  <si>
    <t>Bremond</t>
  </si>
  <si>
    <t>Malie</t>
  </si>
  <si>
    <t>Hendrick</t>
  </si>
  <si>
    <t>Robers</t>
  </si>
  <si>
    <t>Esuk Oron</t>
  </si>
  <si>
    <t>Clemmy</t>
  </si>
  <si>
    <t>McVrone</t>
  </si>
  <si>
    <t>WISNER</t>
  </si>
  <si>
    <t>Paka</t>
  </si>
  <si>
    <t>Suzanna</t>
  </si>
  <si>
    <t>Beckensall</t>
  </si>
  <si>
    <t>Baro Kunda</t>
  </si>
  <si>
    <t>Jesus</t>
  </si>
  <si>
    <t>Bolesma</t>
  </si>
  <si>
    <t>ASHEBORO</t>
  </si>
  <si>
    <t>Wschowa</t>
  </si>
  <si>
    <t>Karol</t>
  </si>
  <si>
    <t>McCourtie</t>
  </si>
  <si>
    <t>Wanrongjiang</t>
  </si>
  <si>
    <t>Kippie</t>
  </si>
  <si>
    <t>Robic</t>
  </si>
  <si>
    <t>Marseille</t>
  </si>
  <si>
    <t>Tedie</t>
  </si>
  <si>
    <t>Dehn</t>
  </si>
  <si>
    <t>SULLIGENT</t>
  </si>
  <si>
    <t>Wiset Chaichan</t>
  </si>
  <si>
    <t>Ronda</t>
  </si>
  <si>
    <t>Mityashin</t>
  </si>
  <si>
    <t>RIVER FALLS</t>
  </si>
  <si>
    <t>Solna</t>
  </si>
  <si>
    <t>Lorelle</t>
  </si>
  <si>
    <t>Stradling</t>
  </si>
  <si>
    <t>Salaya</t>
  </si>
  <si>
    <t>Bogart</t>
  </si>
  <si>
    <t>Harron</t>
  </si>
  <si>
    <t>El Fureidīs</t>
  </si>
  <si>
    <t>Graehme</t>
  </si>
  <si>
    <t>Batterton</t>
  </si>
  <si>
    <t>Horodok</t>
  </si>
  <si>
    <t>Andrea</t>
  </si>
  <si>
    <t>Coryndon</t>
  </si>
  <si>
    <t>Morelos</t>
  </si>
  <si>
    <t>Vanessa</t>
  </si>
  <si>
    <t>Shillom</t>
  </si>
  <si>
    <t>LEXINGTON</t>
  </si>
  <si>
    <t>Shiraz</t>
  </si>
  <si>
    <t>Feodor</t>
  </si>
  <si>
    <t>Pemberton</t>
  </si>
  <si>
    <t>Kaliwates</t>
  </si>
  <si>
    <t>Shem</t>
  </si>
  <si>
    <t>Allden</t>
  </si>
  <si>
    <t>OMAHA</t>
  </si>
  <si>
    <t>Galutu</t>
  </si>
  <si>
    <t>Diahann</t>
  </si>
  <si>
    <t>Perchard</t>
  </si>
  <si>
    <t>Lidköping</t>
  </si>
  <si>
    <t>Dory</t>
  </si>
  <si>
    <t>Eneas</t>
  </si>
  <si>
    <t>Tallahassee</t>
  </si>
  <si>
    <t>Ysabel</t>
  </si>
  <si>
    <t>Geane</t>
  </si>
  <si>
    <t>Pulupandan</t>
  </si>
  <si>
    <t>Krystalle</t>
  </si>
  <si>
    <t>Welden</t>
  </si>
  <si>
    <t>Paphos</t>
  </si>
  <si>
    <t>Diana</t>
  </si>
  <si>
    <t>Sausman</t>
  </si>
  <si>
    <t>Nioro</t>
  </si>
  <si>
    <t>Sandie</t>
  </si>
  <si>
    <t>Mantha</t>
  </si>
  <si>
    <t>Amangarh</t>
  </si>
  <si>
    <t>Maurise</t>
  </si>
  <si>
    <t>Mersey</t>
  </si>
  <si>
    <t>Gontar</t>
  </si>
  <si>
    <t>Edi</t>
  </si>
  <si>
    <t>Yacob</t>
  </si>
  <si>
    <t>CHAMPAIGN</t>
  </si>
  <si>
    <t>Atlanta</t>
  </si>
  <si>
    <t>Shela</t>
  </si>
  <si>
    <t>Gawthrope</t>
  </si>
  <si>
    <t>Orenburg</t>
  </si>
  <si>
    <t>Brandts</t>
  </si>
  <si>
    <t>Ciyu</t>
  </si>
  <si>
    <t>Vause</t>
  </si>
  <si>
    <t>Santiago dos Velhos</t>
  </si>
  <si>
    <t>Gennifer</t>
  </si>
  <si>
    <t>Cathel</t>
  </si>
  <si>
    <t>ROCKY MOUNT</t>
  </si>
  <si>
    <t>Hüremt</t>
  </si>
  <si>
    <t>Cristina</t>
  </si>
  <si>
    <t>Brugemann</t>
  </si>
  <si>
    <t>Sarena</t>
  </si>
  <si>
    <t>Grene</t>
  </si>
  <si>
    <t>Tupiza</t>
  </si>
  <si>
    <t>Abdel</t>
  </si>
  <si>
    <t>Jervoise</t>
  </si>
  <si>
    <t>CHANTILLY</t>
  </si>
  <si>
    <t>Los Angeles</t>
  </si>
  <si>
    <t>Vinnie</t>
  </si>
  <si>
    <t>Matherson</t>
  </si>
  <si>
    <t>Xiangcheng</t>
  </si>
  <si>
    <t>Tressa</t>
  </si>
  <si>
    <t>Bodleigh</t>
  </si>
  <si>
    <t>Balingasag</t>
  </si>
  <si>
    <t>Paula</t>
  </si>
  <si>
    <t>Ambrosetti</t>
  </si>
  <si>
    <t>LAKE WALES</t>
  </si>
  <si>
    <t>Kuytun</t>
  </si>
  <si>
    <t>Doti</t>
  </si>
  <si>
    <t>Lucchi</t>
  </si>
  <si>
    <t>Donggang</t>
  </si>
  <si>
    <t>Adrea</t>
  </si>
  <si>
    <t>Pike</t>
  </si>
  <si>
    <t>Las Carreras</t>
  </si>
  <si>
    <t>Sydney</t>
  </si>
  <si>
    <t>Thew</t>
  </si>
  <si>
    <t>EL MONTE</t>
  </si>
  <si>
    <t>Kasungu</t>
  </si>
  <si>
    <t>Denny</t>
  </si>
  <si>
    <t>Basham</t>
  </si>
  <si>
    <t>Jingxiyuan</t>
  </si>
  <si>
    <t>Emmy</t>
  </si>
  <si>
    <t>Teas</t>
  </si>
  <si>
    <t>Yangjiao</t>
  </si>
  <si>
    <t>Rozanna</t>
  </si>
  <si>
    <t>Capelow</t>
  </si>
  <si>
    <t>Buliwao</t>
  </si>
  <si>
    <t>Andeee</t>
  </si>
  <si>
    <t>Ybarra</t>
  </si>
  <si>
    <t>Velké Losiny</t>
  </si>
  <si>
    <t>Leesa</t>
  </si>
  <si>
    <t>O'Donegan</t>
  </si>
  <si>
    <t>Bagumbayan</t>
  </si>
  <si>
    <t>Janot</t>
  </si>
  <si>
    <t>Peyton</t>
  </si>
  <si>
    <t>Damiao</t>
  </si>
  <si>
    <t>Noah</t>
  </si>
  <si>
    <t>Holleworth</t>
  </si>
  <si>
    <t>Buenavista</t>
  </si>
  <si>
    <t>Zahara</t>
  </si>
  <si>
    <t>Benkin</t>
  </si>
  <si>
    <t>Xiaoqi</t>
  </si>
  <si>
    <t>Brett</t>
  </si>
  <si>
    <t>Hollingshead</t>
  </si>
  <si>
    <t>ITASCA</t>
  </si>
  <si>
    <t>Hualin</t>
  </si>
  <si>
    <t>Tish</t>
  </si>
  <si>
    <t>Abramchik</t>
  </si>
  <si>
    <t>Isac</t>
  </si>
  <si>
    <t>Cowterd</t>
  </si>
  <si>
    <t>Lumbayan</t>
  </si>
  <si>
    <t>Irwinn</t>
  </si>
  <si>
    <t>Jeary</t>
  </si>
  <si>
    <t>Khŭjand</t>
  </si>
  <si>
    <t>Wylma</t>
  </si>
  <si>
    <t>Rodrigues</t>
  </si>
  <si>
    <t>DIGHTON</t>
  </si>
  <si>
    <t>Sidi Yahia el Gharb</t>
  </si>
  <si>
    <t>Christopher</t>
  </si>
  <si>
    <t>Iacovozzo</t>
  </si>
  <si>
    <t>Helsingborg</t>
  </si>
  <si>
    <t>Jaquelin</t>
  </si>
  <si>
    <t>Paireman</t>
  </si>
  <si>
    <t>Kafr Dān</t>
  </si>
  <si>
    <t>Hiram</t>
  </si>
  <si>
    <t>Ourtic</t>
  </si>
  <si>
    <t>RUSSELL SPRINGS</t>
  </si>
  <si>
    <t>Moulay Bouchta</t>
  </si>
  <si>
    <t>Corella</t>
  </si>
  <si>
    <t>Buesden</t>
  </si>
  <si>
    <t>Zhongtang</t>
  </si>
  <si>
    <t>Eugenio</t>
  </si>
  <si>
    <t>Whear</t>
  </si>
  <si>
    <t>Piggs Peak</t>
  </si>
  <si>
    <t>Gerladina</t>
  </si>
  <si>
    <t>Ramme</t>
  </si>
  <si>
    <t>Lühua</t>
  </si>
  <si>
    <t>Susannah</t>
  </si>
  <si>
    <t>Chipchase</t>
  </si>
  <si>
    <t>Sovetskaya Gavan’</t>
  </si>
  <si>
    <t>Arden</t>
  </si>
  <si>
    <t>Chadwyck</t>
  </si>
  <si>
    <t>RANDOLPH</t>
  </si>
  <si>
    <t>Sukapura</t>
  </si>
  <si>
    <t>Estell</t>
  </si>
  <si>
    <t>Kemston</t>
  </si>
  <si>
    <t>ARKANSAS CITY</t>
  </si>
  <si>
    <t>Sioux City</t>
  </si>
  <si>
    <t>Rinaldo</t>
  </si>
  <si>
    <t>Poyle</t>
  </si>
  <si>
    <t>Lagoa</t>
  </si>
  <si>
    <t>Alexi</t>
  </si>
  <si>
    <t>Stuchberry</t>
  </si>
  <si>
    <t>Yeniköy</t>
  </si>
  <si>
    <t>Jodi</t>
  </si>
  <si>
    <t>Higgonet</t>
  </si>
  <si>
    <t>Klang</t>
  </si>
  <si>
    <t>Kliment</t>
  </si>
  <si>
    <t>Jzak</t>
  </si>
  <si>
    <t>CHARLES CITY</t>
  </si>
  <si>
    <t>Xiangfu</t>
  </si>
  <si>
    <t>Ainslee</t>
  </si>
  <si>
    <t>Wastie</t>
  </si>
  <si>
    <t>Atlantis</t>
  </si>
  <si>
    <t>Durward</t>
  </si>
  <si>
    <t>Penhalewick</t>
  </si>
  <si>
    <t>Choisy-le-Roi</t>
  </si>
  <si>
    <t>Francesca</t>
  </si>
  <si>
    <t>Trahear</t>
  </si>
  <si>
    <t>SPRINGFIELD</t>
  </si>
  <si>
    <t>Irará</t>
  </si>
  <si>
    <t>Quintin</t>
  </si>
  <si>
    <t>Kale</t>
  </si>
  <si>
    <t>OSSEO</t>
  </si>
  <si>
    <t>Kagoro</t>
  </si>
  <si>
    <t>Nanette</t>
  </si>
  <si>
    <t>Benian</t>
  </si>
  <si>
    <t>Ipoh</t>
  </si>
  <si>
    <t>McDunlevy</t>
  </si>
  <si>
    <t>Calla</t>
  </si>
  <si>
    <t>Molnar</t>
  </si>
  <si>
    <t>Krajan Kerjo</t>
  </si>
  <si>
    <t>Winfred</t>
  </si>
  <si>
    <t>Gladden</t>
  </si>
  <si>
    <t>CROSS LANES</t>
  </si>
  <si>
    <t>Cigembong</t>
  </si>
  <si>
    <t>Evvy</t>
  </si>
  <si>
    <t>Penn</t>
  </si>
  <si>
    <t>Kampene</t>
  </si>
  <si>
    <t>Doe</t>
  </si>
  <si>
    <t>Elder</t>
  </si>
  <si>
    <t>NEW YORK</t>
  </si>
  <si>
    <t>Qianzhou</t>
  </si>
  <si>
    <t>Kathlin</t>
  </si>
  <si>
    <t>Sheaf</t>
  </si>
  <si>
    <t>Petro-Slavyanka</t>
  </si>
  <si>
    <t>Rafaello</t>
  </si>
  <si>
    <t>Trineman</t>
  </si>
  <si>
    <t>Alor Setar</t>
  </si>
  <si>
    <t>Lotta</t>
  </si>
  <si>
    <t>Raddan</t>
  </si>
  <si>
    <t>Tbilisskaya</t>
  </si>
  <si>
    <t>Horacio</t>
  </si>
  <si>
    <t>Artz</t>
  </si>
  <si>
    <t>CORSICANA</t>
  </si>
  <si>
    <t>Yangjingziwan</t>
  </si>
  <si>
    <t>Alia</t>
  </si>
  <si>
    <t>Copo</t>
  </si>
  <si>
    <t>Djibo</t>
  </si>
  <si>
    <t>Berty</t>
  </si>
  <si>
    <t>Antonias</t>
  </si>
  <si>
    <t>Beidao</t>
  </si>
  <si>
    <t>Adora</t>
  </si>
  <si>
    <t>Valentinetti</t>
  </si>
  <si>
    <t>Jorong Lauk</t>
  </si>
  <si>
    <t>Phil</t>
  </si>
  <si>
    <t>Trye</t>
  </si>
  <si>
    <t>MERTZON</t>
  </si>
  <si>
    <t>Busungbiu</t>
  </si>
  <si>
    <t>Rosabelle</t>
  </si>
  <si>
    <t>Seery</t>
  </si>
  <si>
    <t>Levallois-Perret</t>
  </si>
  <si>
    <t>Birgitta</t>
  </si>
  <si>
    <t>De Giorgio</t>
  </si>
  <si>
    <t>Omaha</t>
  </si>
  <si>
    <t>Zilvia</t>
  </si>
  <si>
    <t>Duns</t>
  </si>
  <si>
    <t>Tumaco</t>
  </si>
  <si>
    <t>Caressa</t>
  </si>
  <si>
    <t>Margery</t>
  </si>
  <si>
    <t>Tonggu</t>
  </si>
  <si>
    <t>Cathyleen</t>
  </si>
  <si>
    <t>Emmerson</t>
  </si>
  <si>
    <t>BROWNWOOD</t>
  </si>
  <si>
    <t>Ōmiya</t>
  </si>
  <si>
    <t>Stefan</t>
  </si>
  <si>
    <t>McCourt</t>
  </si>
  <si>
    <t>Pulau Pinang</t>
  </si>
  <si>
    <t>Garrek</t>
  </si>
  <si>
    <t>Robley</t>
  </si>
  <si>
    <t>MOTT</t>
  </si>
  <si>
    <t>Bitobe</t>
  </si>
  <si>
    <t>Deane</t>
  </si>
  <si>
    <t>Staggs</t>
  </si>
  <si>
    <t>Kolsh</t>
  </si>
  <si>
    <t>Leonore</t>
  </si>
  <si>
    <t>Arpino</t>
  </si>
  <si>
    <t>MARTINSVILLE</t>
  </si>
  <si>
    <t>Kompóti</t>
  </si>
  <si>
    <t>Kevyn</t>
  </si>
  <si>
    <t>Elloway</t>
  </si>
  <si>
    <t>FARGO</t>
  </si>
  <si>
    <t>Holice</t>
  </si>
  <si>
    <t>Derward</t>
  </si>
  <si>
    <t>Sandeman</t>
  </si>
  <si>
    <t>Stráž nad Nisou</t>
  </si>
  <si>
    <t>Lonna</t>
  </si>
  <si>
    <t>Mandrey</t>
  </si>
  <si>
    <t>MORRIS PLAINS</t>
  </si>
  <si>
    <t>Zmiennica</t>
  </si>
  <si>
    <t>Morrie</t>
  </si>
  <si>
    <t>Mostin</t>
  </si>
  <si>
    <t>Zubūbah</t>
  </si>
  <si>
    <t>Zed</t>
  </si>
  <si>
    <t>Sessions</t>
  </si>
  <si>
    <t>Al Ḩāmūl</t>
  </si>
  <si>
    <t>Edin</t>
  </si>
  <si>
    <t>Huglin</t>
  </si>
  <si>
    <t>Milanówek</t>
  </si>
  <si>
    <t>Thurstan</t>
  </si>
  <si>
    <t>Kubas</t>
  </si>
  <si>
    <t>Kissónerga</t>
  </si>
  <si>
    <t>Matthus</t>
  </si>
  <si>
    <t>Tanton</t>
  </si>
  <si>
    <t>Pontes</t>
  </si>
  <si>
    <t>Donovan</t>
  </si>
  <si>
    <t>Sewell</t>
  </si>
  <si>
    <t>Dongfu</t>
  </si>
  <si>
    <t>Nettle</t>
  </si>
  <si>
    <t>Grishelyov</t>
  </si>
  <si>
    <t>Zhujiatai</t>
  </si>
  <si>
    <t>Brock</t>
  </si>
  <si>
    <t>Heinl</t>
  </si>
  <si>
    <t>Yanzhou</t>
  </si>
  <si>
    <t>Casoni</t>
  </si>
  <si>
    <t>WINTHROP</t>
  </si>
  <si>
    <t>Tarbes</t>
  </si>
  <si>
    <t>Karalynn</t>
  </si>
  <si>
    <t>Adnett</t>
  </si>
  <si>
    <t>PIERRE</t>
  </si>
  <si>
    <t>Tranås</t>
  </si>
  <si>
    <t>Odelia</t>
  </si>
  <si>
    <t>Philp</t>
  </si>
  <si>
    <t>Kestell</t>
  </si>
  <si>
    <t>Enköping</t>
  </si>
  <si>
    <t>Betsey</t>
  </si>
  <si>
    <t>Brehault</t>
  </si>
  <si>
    <t>BREA</t>
  </si>
  <si>
    <t>Mafang</t>
  </si>
  <si>
    <t>Neddie</t>
  </si>
  <si>
    <t>Hulke</t>
  </si>
  <si>
    <t>Cibogo</t>
  </si>
  <si>
    <t>Bev</t>
  </si>
  <si>
    <t>Cromley</t>
  </si>
  <si>
    <t>Santiago do Cacém</t>
  </si>
  <si>
    <t>Ilse</t>
  </si>
  <si>
    <t>Gimber</t>
  </si>
  <si>
    <t>Cherkasskoye</t>
  </si>
  <si>
    <t>Elyn</t>
  </si>
  <si>
    <t>Dun</t>
  </si>
  <si>
    <t>Vale Boeiro</t>
  </si>
  <si>
    <t>Heath</t>
  </si>
  <si>
    <t>Dunican</t>
  </si>
  <si>
    <t>Lanigan</t>
  </si>
  <si>
    <t>Rob</t>
  </si>
  <si>
    <t>Arch</t>
  </si>
  <si>
    <t>Malabor</t>
  </si>
  <si>
    <t>Brigman</t>
  </si>
  <si>
    <t>Bireun</t>
  </si>
  <si>
    <t>Trenna</t>
  </si>
  <si>
    <t>Malzard</t>
  </si>
  <si>
    <t>Sarkand</t>
  </si>
  <si>
    <t>Charlton</t>
  </si>
  <si>
    <t>McCart</t>
  </si>
  <si>
    <t>El Puerto</t>
  </si>
  <si>
    <t>Magnum</t>
  </si>
  <si>
    <t>Webborn</t>
  </si>
  <si>
    <t>Árgos</t>
  </si>
  <si>
    <t>Ardath</t>
  </si>
  <si>
    <t>Toffler</t>
  </si>
  <si>
    <t>CLEBURNE</t>
  </si>
  <si>
    <t>Ghormach</t>
  </si>
  <si>
    <t>Jeremiah</t>
  </si>
  <si>
    <t>Lind</t>
  </si>
  <si>
    <t>Jiulong</t>
  </si>
  <si>
    <t>Oberon</t>
  </si>
  <si>
    <t>Catterell</t>
  </si>
  <si>
    <t>Remscheid</t>
  </si>
  <si>
    <t>Manby</t>
  </si>
  <si>
    <t>El Aguilar</t>
  </si>
  <si>
    <t>Corrie</t>
  </si>
  <si>
    <t>Zavattieri</t>
  </si>
  <si>
    <t>MONETT</t>
  </si>
  <si>
    <t>Leudelange</t>
  </si>
  <si>
    <t>Tiffy</t>
  </si>
  <si>
    <t>Arkcoll</t>
  </si>
  <si>
    <t>Bei’an</t>
  </si>
  <si>
    <t>Mackenzie</t>
  </si>
  <si>
    <t>Czaja</t>
  </si>
  <si>
    <t>EVANSTON</t>
  </si>
  <si>
    <t>Lukashin</t>
  </si>
  <si>
    <t>Willie</t>
  </si>
  <si>
    <t>Brailsford</t>
  </si>
  <si>
    <t>Sindangsari</t>
  </si>
  <si>
    <t>Martlew</t>
  </si>
  <si>
    <t>Delft</t>
  </si>
  <si>
    <t>Bernadine</t>
  </si>
  <si>
    <t>Krolik</t>
  </si>
  <si>
    <t>Huillapima</t>
  </si>
  <si>
    <t>Alfie</t>
  </si>
  <si>
    <t>Goodrich</t>
  </si>
  <si>
    <t>WICHITA FALLS</t>
  </si>
  <si>
    <t>Kowale</t>
  </si>
  <si>
    <t>Susanne</t>
  </si>
  <si>
    <t>Thomen</t>
  </si>
  <si>
    <t>Bridgetown</t>
  </si>
  <si>
    <t>Pollack</t>
  </si>
  <si>
    <t>FRISCO</t>
  </si>
  <si>
    <t>Saurimo</t>
  </si>
  <si>
    <t>Lyn</t>
  </si>
  <si>
    <t>Lilian</t>
  </si>
  <si>
    <t>Horní Bříza</t>
  </si>
  <si>
    <t>Kerianne</t>
  </si>
  <si>
    <t>Vanini</t>
  </si>
  <si>
    <t>Fuerte</t>
  </si>
  <si>
    <t>Irita</t>
  </si>
  <si>
    <t>Jenkyn</t>
  </si>
  <si>
    <t>Chernogorsk</t>
  </si>
  <si>
    <t>Elora</t>
  </si>
  <si>
    <t>Milkin</t>
  </si>
  <si>
    <t>BRUSH</t>
  </si>
  <si>
    <t>Sendai</t>
  </si>
  <si>
    <t>Bianca</t>
  </si>
  <si>
    <t>Crimin</t>
  </si>
  <si>
    <t>Laidian</t>
  </si>
  <si>
    <t>Nikkie</t>
  </si>
  <si>
    <t>Gregr</t>
  </si>
  <si>
    <t>Nginjen</t>
  </si>
  <si>
    <t>Yolande</t>
  </si>
  <si>
    <t>Ateggart</t>
  </si>
  <si>
    <t>LATROBE</t>
  </si>
  <si>
    <t>Naran-mandokhu Somon</t>
  </si>
  <si>
    <t>Ardith</t>
  </si>
  <si>
    <t>Foat</t>
  </si>
  <si>
    <t>ELLSWORTH</t>
  </si>
  <si>
    <t>Danao</t>
  </si>
  <si>
    <t>Jed</t>
  </si>
  <si>
    <t>Heakins</t>
  </si>
  <si>
    <t>Kansas City</t>
  </si>
  <si>
    <t>Terrell</t>
  </si>
  <si>
    <t>Sansun</t>
  </si>
  <si>
    <t>HENNING</t>
  </si>
  <si>
    <t>Maloco</t>
  </si>
  <si>
    <t>Ofella</t>
  </si>
  <si>
    <t>Hedworth</t>
  </si>
  <si>
    <t>Chrotoem</t>
  </si>
  <si>
    <t>Gullick</t>
  </si>
  <si>
    <t>Ngeru</t>
  </si>
  <si>
    <t>Oliver</t>
  </si>
  <si>
    <t>Pidgen</t>
  </si>
  <si>
    <t>Chaka</t>
  </si>
  <si>
    <t>Westbrook</t>
  </si>
  <si>
    <t>Leek</t>
  </si>
  <si>
    <t>Sel’tso</t>
  </si>
  <si>
    <t>Susette</t>
  </si>
  <si>
    <t>Stobart</t>
  </si>
  <si>
    <t>Colombes</t>
  </si>
  <si>
    <t>Surgener</t>
  </si>
  <si>
    <t>Shcherbinka</t>
  </si>
  <si>
    <t>Arendsen</t>
  </si>
  <si>
    <t>Chropyně</t>
  </si>
  <si>
    <t>Nevsa</t>
  </si>
  <si>
    <t>Grogono</t>
  </si>
  <si>
    <t>Stan-Bekhtemir</t>
  </si>
  <si>
    <t>Sorcha</t>
  </si>
  <si>
    <t>Seif</t>
  </si>
  <si>
    <t>LUBBOCK</t>
  </si>
  <si>
    <t>Rueil-Malmaison</t>
  </si>
  <si>
    <t>Rosmunda</t>
  </si>
  <si>
    <t>Milmoe</t>
  </si>
  <si>
    <t>GRANBURY</t>
  </si>
  <si>
    <t>Baltimore</t>
  </si>
  <si>
    <t>Miranda</t>
  </si>
  <si>
    <t>Wedon</t>
  </si>
  <si>
    <t>Pitogo</t>
  </si>
  <si>
    <t>Lira</t>
  </si>
  <si>
    <t>Blackman</t>
  </si>
  <si>
    <t>Paraguaçu Paulista</t>
  </si>
  <si>
    <t>Shannen</t>
  </si>
  <si>
    <t>Upsale</t>
  </si>
  <si>
    <t>Albany</t>
  </si>
  <si>
    <t>Gianina</t>
  </si>
  <si>
    <t>Orth</t>
  </si>
  <si>
    <t>Al Qūşīyah</t>
  </si>
  <si>
    <t>Sax</t>
  </si>
  <si>
    <t>Melvin</t>
  </si>
  <si>
    <t>CHICKASHA</t>
  </si>
  <si>
    <t>Terneuzen</t>
  </si>
  <si>
    <t>Verena</t>
  </si>
  <si>
    <t>Riordan</t>
  </si>
  <si>
    <t>El Potrero</t>
  </si>
  <si>
    <t>Isador</t>
  </si>
  <si>
    <t>Greenshiels</t>
  </si>
  <si>
    <t>VANDALIA</t>
  </si>
  <si>
    <t>Ilopango</t>
  </si>
  <si>
    <t>Otis</t>
  </si>
  <si>
    <t>Dutt</t>
  </si>
  <si>
    <t>Asahikawa</t>
  </si>
  <si>
    <t>Bendix</t>
  </si>
  <si>
    <t>Blastock</t>
  </si>
  <si>
    <t>Sandakan</t>
  </si>
  <si>
    <t>Wolfy</t>
  </si>
  <si>
    <t>Roxbrough</t>
  </si>
  <si>
    <t>Pagelaran</t>
  </si>
  <si>
    <t>Gilli</t>
  </si>
  <si>
    <t>Poyser</t>
  </si>
  <si>
    <t>Verkhnyaya Tura</t>
  </si>
  <si>
    <t>Angeli</t>
  </si>
  <si>
    <t>Heinle</t>
  </si>
  <si>
    <t>Reims</t>
  </si>
  <si>
    <t>Bamby</t>
  </si>
  <si>
    <t>Monro</t>
  </si>
  <si>
    <t>Huurch</t>
  </si>
  <si>
    <t>Nanon</t>
  </si>
  <si>
    <t>Tite</t>
  </si>
  <si>
    <t>GILMER</t>
  </si>
  <si>
    <t>Sabana Grande</t>
  </si>
  <si>
    <t>Tobye</t>
  </si>
  <si>
    <t>HAZELWOOD</t>
  </si>
  <si>
    <t>Novaya Chigla</t>
  </si>
  <si>
    <t>Franklin</t>
  </si>
  <si>
    <t>Tincey</t>
  </si>
  <si>
    <t>Mionica</t>
  </si>
  <si>
    <t>Jud</t>
  </si>
  <si>
    <t>Novello</t>
  </si>
  <si>
    <t>Donglai</t>
  </si>
  <si>
    <t>Loralie</t>
  </si>
  <si>
    <t>Van't Hoff</t>
  </si>
  <si>
    <t>Banjar Bau Kawan</t>
  </si>
  <si>
    <t>Nonna</t>
  </si>
  <si>
    <t>Borkin</t>
  </si>
  <si>
    <t>Enschede</t>
  </si>
  <si>
    <t>Ronica</t>
  </si>
  <si>
    <t>Renshell</t>
  </si>
  <si>
    <t>Dadong’ao</t>
  </si>
  <si>
    <t>Hairsine</t>
  </si>
  <si>
    <t>Bagani</t>
  </si>
  <si>
    <t>Augustin</t>
  </si>
  <si>
    <t>Lait</t>
  </si>
  <si>
    <t>AVON</t>
  </si>
  <si>
    <t>Vitry-sur-Seine</t>
  </si>
  <si>
    <t>Krista</t>
  </si>
  <si>
    <t>Laundon</t>
  </si>
  <si>
    <t>ORANGEVILLE</t>
  </si>
  <si>
    <t>Offa</t>
  </si>
  <si>
    <t>Ezmeralda</t>
  </si>
  <si>
    <t>Yeoland</t>
  </si>
  <si>
    <t>Umuarama</t>
  </si>
  <si>
    <t>Cass</t>
  </si>
  <si>
    <t>Olufsen</t>
  </si>
  <si>
    <t>Mnogoudobnoye</t>
  </si>
  <si>
    <t>Marya</t>
  </si>
  <si>
    <t>Beardshaw</t>
  </si>
  <si>
    <t>MCKINNEY</t>
  </si>
  <si>
    <t>Unquillo</t>
  </si>
  <si>
    <t>Marnia</t>
  </si>
  <si>
    <t>Grocott</t>
  </si>
  <si>
    <t>Mendenrejo</t>
  </si>
  <si>
    <t>Sancho</t>
  </si>
  <si>
    <t>Adlington</t>
  </si>
  <si>
    <t>Qingyang</t>
  </si>
  <si>
    <t>Valera</t>
  </si>
  <si>
    <t>Oloshin</t>
  </si>
  <si>
    <t>Paprotnia</t>
  </si>
  <si>
    <t>Laurie</t>
  </si>
  <si>
    <t>Fusco</t>
  </si>
  <si>
    <t>Ti-n-Essako</t>
  </si>
  <si>
    <t>Kath</t>
  </si>
  <si>
    <t>Candy</t>
  </si>
  <si>
    <t>Kenamoen</t>
  </si>
  <si>
    <t>Danielle</t>
  </si>
  <si>
    <t>Nassau</t>
  </si>
  <si>
    <t>DUBLIN</t>
  </si>
  <si>
    <t>Manta</t>
  </si>
  <si>
    <t>Rangall</t>
  </si>
  <si>
    <t>Dziemiany</t>
  </si>
  <si>
    <t>Arel</t>
  </si>
  <si>
    <t>Oty</t>
  </si>
  <si>
    <t>San Marcos</t>
  </si>
  <si>
    <t>Nikolai</t>
  </si>
  <si>
    <t>Aspinwall</t>
  </si>
  <si>
    <t>Svetogorsk</t>
  </si>
  <si>
    <t>Tomasine</t>
  </si>
  <si>
    <t>Durbyn</t>
  </si>
  <si>
    <t>Shadui</t>
  </si>
  <si>
    <t>Alaine</t>
  </si>
  <si>
    <t>Boissieux</t>
  </si>
  <si>
    <t>Letuyi</t>
  </si>
  <si>
    <t>Crysta</t>
  </si>
  <si>
    <t>Polk</t>
  </si>
  <si>
    <t>Mopti</t>
  </si>
  <si>
    <t>Audry</t>
  </si>
  <si>
    <t>Teodori</t>
  </si>
  <si>
    <t>Sigayevo</t>
  </si>
  <si>
    <t>Mei</t>
  </si>
  <si>
    <t>Pimerick</t>
  </si>
  <si>
    <t>Thị Trấn Yên Thịnh</t>
  </si>
  <si>
    <t>Elisabet</t>
  </si>
  <si>
    <t>Benns</t>
  </si>
  <si>
    <t>Lesley</t>
  </si>
  <si>
    <t>Ridgers</t>
  </si>
  <si>
    <t>Kuantan</t>
  </si>
  <si>
    <t>Mort</t>
  </si>
  <si>
    <t>Bexley</t>
  </si>
  <si>
    <t>HUGO</t>
  </si>
  <si>
    <t>Klenovyy</t>
  </si>
  <si>
    <t>Alic</t>
  </si>
  <si>
    <t>Wooffitt</t>
  </si>
  <si>
    <t>CROWLEY</t>
  </si>
  <si>
    <t>Maykor</t>
  </si>
  <si>
    <t>Geri</t>
  </si>
  <si>
    <t>Ciccetti</t>
  </si>
  <si>
    <t>MEMPHIS</t>
  </si>
  <si>
    <t>Paris La Défense</t>
  </si>
  <si>
    <t>Urban</t>
  </si>
  <si>
    <t>Ainsworth</t>
  </si>
  <si>
    <t>Datong</t>
  </si>
  <si>
    <t>Ebenezer</t>
  </si>
  <si>
    <t>Dunster</t>
  </si>
  <si>
    <t>DETROIT</t>
  </si>
  <si>
    <t>Szczecin</t>
  </si>
  <si>
    <t>Lisle</t>
  </si>
  <si>
    <t>Craigmile</t>
  </si>
  <si>
    <t>Rawa Mazowiecka</t>
  </si>
  <si>
    <t>Stalf</t>
  </si>
  <si>
    <t>SUFFOLK</t>
  </si>
  <si>
    <t>Businovo</t>
  </si>
  <si>
    <t>Tobe</t>
  </si>
  <si>
    <t>Behne</t>
  </si>
  <si>
    <t>Neglasari</t>
  </si>
  <si>
    <t>Dana</t>
  </si>
  <si>
    <t>Evert</t>
  </si>
  <si>
    <t>Azilal</t>
  </si>
  <si>
    <t>Alexia</t>
  </si>
  <si>
    <t>Francombe</t>
  </si>
  <si>
    <t>Talok</t>
  </si>
  <si>
    <t>Jaime</t>
  </si>
  <si>
    <t>Risman</t>
  </si>
  <si>
    <t>Uummannaq</t>
  </si>
  <si>
    <t>Viviyan</t>
  </si>
  <si>
    <t>Cayton</t>
  </si>
  <si>
    <t>Noeltoko</t>
  </si>
  <si>
    <t>Adel</t>
  </si>
  <si>
    <t>Dikle</t>
  </si>
  <si>
    <t>Gbawe</t>
  </si>
  <si>
    <t>Gabriellia</t>
  </si>
  <si>
    <t>Yirrell</t>
  </si>
  <si>
    <t>Jubaoshan</t>
  </si>
  <si>
    <t>Starla</t>
  </si>
  <si>
    <t>Belhomme</t>
  </si>
  <si>
    <t>Yihe</t>
  </si>
  <si>
    <t>Garnette</t>
  </si>
  <si>
    <t>Rapps</t>
  </si>
  <si>
    <t>Taihe Chengguanzhen</t>
  </si>
  <si>
    <t>Sondra</t>
  </si>
  <si>
    <t>Barnardo</t>
  </si>
  <si>
    <t>CARTHAGE</t>
  </si>
  <si>
    <t>Qadsīyā</t>
  </si>
  <si>
    <t>Fairlie</t>
  </si>
  <si>
    <t>Gohier</t>
  </si>
  <si>
    <t>Balong</t>
  </si>
  <si>
    <t>Dorothee</t>
  </si>
  <si>
    <t>Kadwallider</t>
  </si>
  <si>
    <t>ANCHORAGE</t>
  </si>
  <si>
    <t>Al Baqāliţah</t>
  </si>
  <si>
    <t>Dalis</t>
  </si>
  <si>
    <t>O'Meara</t>
  </si>
  <si>
    <t>Platagata</t>
  </si>
  <si>
    <t>Merrielle</t>
  </si>
  <si>
    <t>Waterhouse</t>
  </si>
  <si>
    <t>Callahuanca</t>
  </si>
  <si>
    <t>Karrah</t>
  </si>
  <si>
    <t>Goudy</t>
  </si>
  <si>
    <t>Uruçuca</t>
  </si>
  <si>
    <t>Didi</t>
  </si>
  <si>
    <t>Cartman</t>
  </si>
  <si>
    <t>Bayan Uula Sumu</t>
  </si>
  <si>
    <t>Jocko</t>
  </si>
  <si>
    <t>Lerwill</t>
  </si>
  <si>
    <t>Zvishavane</t>
  </si>
  <si>
    <t>Waylan</t>
  </si>
  <si>
    <t>Burgill</t>
  </si>
  <si>
    <t>ATLANTIC</t>
  </si>
  <si>
    <t>Baki</t>
  </si>
  <si>
    <t>Evanne</t>
  </si>
  <si>
    <t>Novill</t>
  </si>
  <si>
    <t>DWIGHT</t>
  </si>
  <si>
    <t>Independencia</t>
  </si>
  <si>
    <t>Gaby</t>
  </si>
  <si>
    <t>Knell</t>
  </si>
  <si>
    <t>Stanisław Górny</t>
  </si>
  <si>
    <t>Konstance</t>
  </si>
  <si>
    <t>Dowzell</t>
  </si>
  <si>
    <t>Shu</t>
  </si>
  <si>
    <t>Capaldi</t>
  </si>
  <si>
    <t>Thị Trấn Trùng Khánh</t>
  </si>
  <si>
    <t>Neilla</t>
  </si>
  <si>
    <t>Dionisio</t>
  </si>
  <si>
    <t>Los Patios</t>
  </si>
  <si>
    <t>Anthia</t>
  </si>
  <si>
    <t>Kellett</t>
  </si>
  <si>
    <t>La Reforma</t>
  </si>
  <si>
    <t>Efren</t>
  </si>
  <si>
    <t>Bicheno</t>
  </si>
  <si>
    <t>STILWELL</t>
  </si>
  <si>
    <t>Lewoduli</t>
  </si>
  <si>
    <t>Rebbecca</t>
  </si>
  <si>
    <t>Honack</t>
  </si>
  <si>
    <t>Tajumulco</t>
  </si>
  <si>
    <t>Jarib</t>
  </si>
  <si>
    <t>Mungan</t>
  </si>
  <si>
    <t>Tongxing</t>
  </si>
  <si>
    <t>Berny</t>
  </si>
  <si>
    <t>Bjorkan</t>
  </si>
  <si>
    <t>Nempel</t>
  </si>
  <si>
    <t>Elyse</t>
  </si>
  <si>
    <t>Doman</t>
  </si>
  <si>
    <t>Pasar</t>
  </si>
  <si>
    <t>Vaan</t>
  </si>
  <si>
    <t>Banjar</t>
  </si>
  <si>
    <t>Lindon</t>
  </si>
  <si>
    <t>Redish</t>
  </si>
  <si>
    <t>West End</t>
  </si>
  <si>
    <t>Freezor</t>
  </si>
  <si>
    <t>Wangzha</t>
  </si>
  <si>
    <t>Johannah</t>
  </si>
  <si>
    <t>Wrathall</t>
  </si>
  <si>
    <t>Mâcon</t>
  </si>
  <si>
    <t>Araldo</t>
  </si>
  <si>
    <t>Taylorson</t>
  </si>
  <si>
    <t>Si’erbao</t>
  </si>
  <si>
    <t>Galvin</t>
  </si>
  <si>
    <t>Bolletti</t>
  </si>
  <si>
    <t>Songgai</t>
  </si>
  <si>
    <t>Yves</t>
  </si>
  <si>
    <t>Ughini</t>
  </si>
  <si>
    <t>Kalej</t>
  </si>
  <si>
    <t>Ernesto</t>
  </si>
  <si>
    <t>Rowena</t>
  </si>
  <si>
    <t>Kokstad</t>
  </si>
  <si>
    <t>Mureil</t>
  </si>
  <si>
    <t>Wormell</t>
  </si>
  <si>
    <t>Cholargós</t>
  </si>
  <si>
    <t>Steffen</t>
  </si>
  <si>
    <t>Denecamp</t>
  </si>
  <si>
    <t>Três Lagoas</t>
  </si>
  <si>
    <t>Xymenes</t>
  </si>
  <si>
    <t>Tynan</t>
  </si>
  <si>
    <t>LAFOLLETTE</t>
  </si>
  <si>
    <t>Suizhong</t>
  </si>
  <si>
    <t>Hunt</t>
  </si>
  <si>
    <t>Escolme</t>
  </si>
  <si>
    <t>Summerside</t>
  </si>
  <si>
    <t>Jules</t>
  </si>
  <si>
    <t>Guerreru</t>
  </si>
  <si>
    <t>Puerto Boyacá</t>
  </si>
  <si>
    <t>Kala</t>
  </si>
  <si>
    <t>Molian</t>
  </si>
  <si>
    <t>TORRANCE</t>
  </si>
  <si>
    <t>Carbajales</t>
  </si>
  <si>
    <t>Ezequiel</t>
  </si>
  <si>
    <t>Gurry</t>
  </si>
  <si>
    <t>HOTCHKISS</t>
  </si>
  <si>
    <t>Hengfeng</t>
  </si>
  <si>
    <t>Toiboid</t>
  </si>
  <si>
    <t>Dales</t>
  </si>
  <si>
    <t>Nanhe</t>
  </si>
  <si>
    <t>Mellie</t>
  </si>
  <si>
    <t>Cossington</t>
  </si>
  <si>
    <t>Västerås</t>
  </si>
  <si>
    <t>Stephie</t>
  </si>
  <si>
    <t>Shortall</t>
  </si>
  <si>
    <t>Niamey</t>
  </si>
  <si>
    <t>Tam</t>
  </si>
  <si>
    <t>Tickle</t>
  </si>
  <si>
    <t>Lanshan</t>
  </si>
  <si>
    <t>Leona</t>
  </si>
  <si>
    <t>Postlethwaite</t>
  </si>
  <si>
    <t>FITZGERALD</t>
  </si>
  <si>
    <t>Knivsta</t>
  </si>
  <si>
    <t>Michele</t>
  </si>
  <si>
    <t>Lowres</t>
  </si>
  <si>
    <t>HOLLY HILL</t>
  </si>
  <si>
    <t>Burauen</t>
  </si>
  <si>
    <t>Nissie</t>
  </si>
  <si>
    <t>Olyff</t>
  </si>
  <si>
    <t>Goubétto</t>
  </si>
  <si>
    <t>Rozele</t>
  </si>
  <si>
    <t>Abucayan</t>
  </si>
  <si>
    <t>Bartholomeus</t>
  </si>
  <si>
    <t>Curless</t>
  </si>
  <si>
    <t>LYNDEN</t>
  </si>
  <si>
    <t>Banjar Kajanan</t>
  </si>
  <si>
    <t>Ichabod</t>
  </si>
  <si>
    <t>Greader</t>
  </si>
  <si>
    <t>PRINCETON</t>
  </si>
  <si>
    <t>Huangchen</t>
  </si>
  <si>
    <t>Showers</t>
  </si>
  <si>
    <t>Bukavu</t>
  </si>
  <si>
    <t>Marlee</t>
  </si>
  <si>
    <t>Rickis</t>
  </si>
  <si>
    <t>Dukhovnitskoye</t>
  </si>
  <si>
    <t>Adolf</t>
  </si>
  <si>
    <t>Petri</t>
  </si>
  <si>
    <t>Jubung</t>
  </si>
  <si>
    <t>Tod</t>
  </si>
  <si>
    <t>Haye</t>
  </si>
  <si>
    <t>Buikwe</t>
  </si>
  <si>
    <t>Bordy</t>
  </si>
  <si>
    <t>Girdwood</t>
  </si>
  <si>
    <t>Châteaurenard</t>
  </si>
  <si>
    <t>Clemente</t>
  </si>
  <si>
    <t>Pridmore</t>
  </si>
  <si>
    <t>Hanjia</t>
  </si>
  <si>
    <t>Reid</t>
  </si>
  <si>
    <t>Chipman</t>
  </si>
  <si>
    <t>Fukadale</t>
  </si>
  <si>
    <t>Shawnee</t>
  </si>
  <si>
    <t>Neeson</t>
  </si>
  <si>
    <t>Kỳ Anh</t>
  </si>
  <si>
    <t>Peta</t>
  </si>
  <si>
    <t>Marryatt</t>
  </si>
  <si>
    <t>SHELBYVILLE</t>
  </si>
  <si>
    <t>Eksjö</t>
  </si>
  <si>
    <t>Norbie</t>
  </si>
  <si>
    <t>Llewellen</t>
  </si>
  <si>
    <t>Lemerie</t>
  </si>
  <si>
    <t>Banjar Tengahbelayu</t>
  </si>
  <si>
    <t>Sutherland</t>
  </si>
  <si>
    <t>McVity</t>
  </si>
  <si>
    <t>ASHBY</t>
  </si>
  <si>
    <t>Bonabéri</t>
  </si>
  <si>
    <t>Jedidiah</t>
  </si>
  <si>
    <t>Biggar</t>
  </si>
  <si>
    <t>Kebonkai</t>
  </si>
  <si>
    <t>Yarnold</t>
  </si>
  <si>
    <t>Pollyanna</t>
  </si>
  <si>
    <t>Elfe</t>
  </si>
  <si>
    <t>Wewit</t>
  </si>
  <si>
    <t>Moe</t>
  </si>
  <si>
    <t>Ferrarini</t>
  </si>
  <si>
    <t>Zaplavnoye</t>
  </si>
  <si>
    <t>Brumfield</t>
  </si>
  <si>
    <t>Cachachi</t>
  </si>
  <si>
    <t>Kidsley</t>
  </si>
  <si>
    <t>DIBOLL</t>
  </si>
  <si>
    <t>Meadow Lake</t>
  </si>
  <si>
    <t>Vivi</t>
  </si>
  <si>
    <t>Matthaus</t>
  </si>
  <si>
    <t>Marianna</t>
  </si>
  <si>
    <t>Cordelette</t>
  </si>
  <si>
    <t>DEXTER</t>
  </si>
  <si>
    <t>Shihuiqiao</t>
  </si>
  <si>
    <t>Abner</t>
  </si>
  <si>
    <t>Tann</t>
  </si>
  <si>
    <t>Isoka</t>
  </si>
  <si>
    <t>Mordecai</t>
  </si>
  <si>
    <t>Kigelman</t>
  </si>
  <si>
    <t>les Escaldes</t>
  </si>
  <si>
    <t>Adham</t>
  </si>
  <si>
    <t>Grimwood</t>
  </si>
  <si>
    <t>Lamalera</t>
  </si>
  <si>
    <t>Karolina</t>
  </si>
  <si>
    <t>Jones</t>
  </si>
  <si>
    <t>Tena</t>
  </si>
  <si>
    <t>Boy</t>
  </si>
  <si>
    <t>Woolnough</t>
  </si>
  <si>
    <t>Canomoy</t>
  </si>
  <si>
    <t>Sholl</t>
  </si>
  <si>
    <t>Yangmiao</t>
  </si>
  <si>
    <t>Lois</t>
  </si>
  <si>
    <t>Rowlings</t>
  </si>
  <si>
    <t>Bulls</t>
  </si>
  <si>
    <t>Corny</t>
  </si>
  <si>
    <t>Coppens</t>
  </si>
  <si>
    <t>Jimeta</t>
  </si>
  <si>
    <t>Lucio</t>
  </si>
  <si>
    <t>Lowless</t>
  </si>
  <si>
    <t>Claudian</t>
  </si>
  <si>
    <t>Kalinsky</t>
  </si>
  <si>
    <t>Shermie</t>
  </si>
  <si>
    <t>Lever</t>
  </si>
  <si>
    <t>LEE'S SUMMIT</t>
  </si>
  <si>
    <t>Micaela</t>
  </si>
  <si>
    <t>Pavlenkov</t>
  </si>
  <si>
    <t>BATESVILLE</t>
  </si>
  <si>
    <t>Malcolm</t>
  </si>
  <si>
    <t>Tweed</t>
  </si>
  <si>
    <t>Sicamous</t>
  </si>
  <si>
    <t>Arvy</t>
  </si>
  <si>
    <t>Mettetal</t>
  </si>
  <si>
    <t>Hoogeveen</t>
  </si>
  <si>
    <t>Amandie</t>
  </si>
  <si>
    <t>Hardes</t>
  </si>
  <si>
    <t>Remas</t>
  </si>
  <si>
    <t>Bertie</t>
  </si>
  <si>
    <t>Gudgion</t>
  </si>
  <si>
    <t>Frederick</t>
  </si>
  <si>
    <t>Whimpenny</t>
  </si>
  <si>
    <t>LINEVILLE</t>
  </si>
  <si>
    <t>Trogan Barat</t>
  </si>
  <si>
    <t>Aura</t>
  </si>
  <si>
    <t>Moscone</t>
  </si>
  <si>
    <t>Mangkon Daja</t>
  </si>
  <si>
    <t>Caren</t>
  </si>
  <si>
    <t>Dellit</t>
  </si>
  <si>
    <t>AMARILLO</t>
  </si>
  <si>
    <t>Jablanovec</t>
  </si>
  <si>
    <t>Judon</t>
  </si>
  <si>
    <t>Antcliff</t>
  </si>
  <si>
    <t>Mondim de Basto</t>
  </si>
  <si>
    <t>Stannis</t>
  </si>
  <si>
    <t>Huangbao</t>
  </si>
  <si>
    <t>Susy</t>
  </si>
  <si>
    <t>Threlkeld</t>
  </si>
  <si>
    <t>Zhongba</t>
  </si>
  <si>
    <t>Pressland</t>
  </si>
  <si>
    <t>Eindhoven</t>
  </si>
  <si>
    <t>Hermine</t>
  </si>
  <si>
    <t>Brabon</t>
  </si>
  <si>
    <t>CAPE VINCENT</t>
  </si>
  <si>
    <t>Halong</t>
  </si>
  <si>
    <t>Manolo</t>
  </si>
  <si>
    <t>Tearle</t>
  </si>
  <si>
    <t>Klaeng</t>
  </si>
  <si>
    <t>Keefe</t>
  </si>
  <si>
    <t>Carstairs</t>
  </si>
  <si>
    <t>BAINBRIDGE</t>
  </si>
  <si>
    <t>Xiaogang</t>
  </si>
  <si>
    <t>Newlove</t>
  </si>
  <si>
    <t>Sarae</t>
  </si>
  <si>
    <t>Jyoti</t>
  </si>
  <si>
    <t>Paolone</t>
  </si>
  <si>
    <t>Kladi</t>
  </si>
  <si>
    <t>Anica</t>
  </si>
  <si>
    <t>Beddie</t>
  </si>
  <si>
    <t>Jiangzhang</t>
  </si>
  <si>
    <t>Antonina</t>
  </si>
  <si>
    <t>Carnegy</t>
  </si>
  <si>
    <t>Concord</t>
  </si>
  <si>
    <t>Colette</t>
  </si>
  <si>
    <t>Spaunton</t>
  </si>
  <si>
    <t>Turbaco</t>
  </si>
  <si>
    <t>Lorrie</t>
  </si>
  <si>
    <t>Faireclough</t>
  </si>
  <si>
    <t>Izumiōtsu</t>
  </si>
  <si>
    <t>Milo</t>
  </si>
  <si>
    <t>Yukhnev</t>
  </si>
  <si>
    <t>El Caño</t>
  </si>
  <si>
    <t>Maurita</t>
  </si>
  <si>
    <t>Herculeson</t>
  </si>
  <si>
    <t>Pingshi</t>
  </si>
  <si>
    <t>Leigha</t>
  </si>
  <si>
    <t>Cornelis</t>
  </si>
  <si>
    <t>CLINTON</t>
  </si>
  <si>
    <t>Bingerville</t>
  </si>
  <si>
    <t>Mikaela</t>
  </si>
  <si>
    <t>Slaney</t>
  </si>
  <si>
    <t>Mamboma</t>
  </si>
  <si>
    <t>Ave</t>
  </si>
  <si>
    <t>Phillot</t>
  </si>
  <si>
    <t>Al Wajh</t>
  </si>
  <si>
    <t>Grayce</t>
  </si>
  <si>
    <t>Clemoes</t>
  </si>
  <si>
    <t>Nancy</t>
  </si>
  <si>
    <t>Peyter</t>
  </si>
  <si>
    <t>CROSBYTON</t>
  </si>
  <si>
    <t>Puyung</t>
  </si>
  <si>
    <t>Amble</t>
  </si>
  <si>
    <t>Franciottoi</t>
  </si>
  <si>
    <t>Booth</t>
  </si>
  <si>
    <t>Heinecke</t>
  </si>
  <si>
    <t>Auas</t>
  </si>
  <si>
    <t>Adolphus</t>
  </si>
  <si>
    <t>Letlhakeng</t>
  </si>
  <si>
    <t>Tate</t>
  </si>
  <si>
    <t>Colwell</t>
  </si>
  <si>
    <t>WARREN</t>
  </si>
  <si>
    <t>Perre</t>
  </si>
  <si>
    <t>Yale</t>
  </si>
  <si>
    <t>Bernadon</t>
  </si>
  <si>
    <t>Sedayulawas</t>
  </si>
  <si>
    <t>Justino</t>
  </si>
  <si>
    <t>Gashion</t>
  </si>
  <si>
    <t>Zghartā</t>
  </si>
  <si>
    <t>Sher</t>
  </si>
  <si>
    <t>Frowde</t>
  </si>
  <si>
    <t>Pericik</t>
  </si>
  <si>
    <t>Penrod</t>
  </si>
  <si>
    <t>Oxlee</t>
  </si>
  <si>
    <t>CALHAN</t>
  </si>
  <si>
    <t>Kohila</t>
  </si>
  <si>
    <t>Pauly</t>
  </si>
  <si>
    <t>Forsdyke</t>
  </si>
  <si>
    <t>QUITAQUE</t>
  </si>
  <si>
    <t>Klwów</t>
  </si>
  <si>
    <t>Elaine</t>
  </si>
  <si>
    <t>Chaffyn</t>
  </si>
  <si>
    <t>Kore</t>
  </si>
  <si>
    <t>Obediah</t>
  </si>
  <si>
    <t>Norewood</t>
  </si>
  <si>
    <t>Baohe</t>
  </si>
  <si>
    <t>Kirwan</t>
  </si>
  <si>
    <t>Coari</t>
  </si>
  <si>
    <t>Camilla</t>
  </si>
  <si>
    <t>Dansie</t>
  </si>
  <si>
    <t>Jiukeng</t>
  </si>
  <si>
    <t>Deans</t>
  </si>
  <si>
    <t>Pļaviņas</t>
  </si>
  <si>
    <t>Bili</t>
  </si>
  <si>
    <t>Elwin</t>
  </si>
  <si>
    <t>Vyshneye Dolgoye</t>
  </si>
  <si>
    <t>Pia</t>
  </si>
  <si>
    <t>Phin</t>
  </si>
  <si>
    <t>HARTFORD</t>
  </si>
  <si>
    <t>Villa Santa Rita</t>
  </si>
  <si>
    <t>Petronille</t>
  </si>
  <si>
    <t>Alliband</t>
  </si>
  <si>
    <t>Stony Plain</t>
  </si>
  <si>
    <t>Jordanna</t>
  </si>
  <si>
    <t>Heynel</t>
  </si>
  <si>
    <t>BERNE</t>
  </si>
  <si>
    <t>La Cueva</t>
  </si>
  <si>
    <t>Winnie</t>
  </si>
  <si>
    <t>Morgans</t>
  </si>
  <si>
    <t>Limonade</t>
  </si>
  <si>
    <t>Jacquenette</t>
  </si>
  <si>
    <t>Habershon</t>
  </si>
  <si>
    <t>Al Muharraq</t>
  </si>
  <si>
    <t>Trevar</t>
  </si>
  <si>
    <t>Skains</t>
  </si>
  <si>
    <t>Shuiying</t>
  </si>
  <si>
    <t>Beckie</t>
  </si>
  <si>
    <t>Smalman</t>
  </si>
  <si>
    <t>Złoty Stok</t>
  </si>
  <si>
    <t>Dud</t>
  </si>
  <si>
    <t>Wellen</t>
  </si>
  <si>
    <t>Carapicuíba</t>
  </si>
  <si>
    <t>Emmit</t>
  </si>
  <si>
    <t>Rentalll</t>
  </si>
  <si>
    <t>WEST CONCORD</t>
  </si>
  <si>
    <t>Tenney</t>
  </si>
  <si>
    <t>Piedade</t>
  </si>
  <si>
    <t>Rosamund</t>
  </si>
  <si>
    <t>Udell</t>
  </si>
  <si>
    <t>Puncakmanis</t>
  </si>
  <si>
    <t>Erie</t>
  </si>
  <si>
    <t>Byfford</t>
  </si>
  <si>
    <t>Dongzhaogezhuang</t>
  </si>
  <si>
    <t>Viviene</t>
  </si>
  <si>
    <t>Caffrey</t>
  </si>
  <si>
    <t>Kopychyntsi</t>
  </si>
  <si>
    <t>Leetham</t>
  </si>
  <si>
    <t>Altay</t>
  </si>
  <si>
    <t>Hilly</t>
  </si>
  <si>
    <t>Kleinstub</t>
  </si>
  <si>
    <t>Hradec nad Moravici</t>
  </si>
  <si>
    <t>Prisca</t>
  </si>
  <si>
    <t>Germon</t>
  </si>
  <si>
    <t>Montonggamang</t>
  </si>
  <si>
    <t>Dolorita</t>
  </si>
  <si>
    <t>Moehle</t>
  </si>
  <si>
    <t>Sirre</t>
  </si>
  <si>
    <t>Aldus</t>
  </si>
  <si>
    <t>Piwell</t>
  </si>
  <si>
    <t>La Cruz</t>
  </si>
  <si>
    <t>Jenine</t>
  </si>
  <si>
    <t>Mc Menamin</t>
  </si>
  <si>
    <t>Panganiban</t>
  </si>
  <si>
    <t>Caldwell</t>
  </si>
  <si>
    <t>Orr</t>
  </si>
  <si>
    <t>Yuanyang Zhen</t>
  </si>
  <si>
    <t>Ardelis</t>
  </si>
  <si>
    <t>Rustadge</t>
  </si>
  <si>
    <t>Wonopringgo</t>
  </si>
  <si>
    <t>Eden</t>
  </si>
  <si>
    <t>Lotwich</t>
  </si>
  <si>
    <t>Elimäki</t>
  </si>
  <si>
    <t>Maressa</t>
  </si>
  <si>
    <t>Trinke</t>
  </si>
  <si>
    <t>Ostankinskiy</t>
  </si>
  <si>
    <t>Valeria</t>
  </si>
  <si>
    <t>Caudrelier</t>
  </si>
  <si>
    <t>Yaguarón</t>
  </si>
  <si>
    <t>Yukhnini</t>
  </si>
  <si>
    <t>Linjiang</t>
  </si>
  <si>
    <t>Abagael</t>
  </si>
  <si>
    <t>Keyte</t>
  </si>
  <si>
    <t>Texíguat</t>
  </si>
  <si>
    <t>Kathi</t>
  </si>
  <si>
    <t>Eccersley</t>
  </si>
  <si>
    <t>Halie</t>
  </si>
  <si>
    <t>MARKESAN</t>
  </si>
  <si>
    <t>Pangkalan</t>
  </si>
  <si>
    <t>Chadbourne</t>
  </si>
  <si>
    <t>SEAL BEACH</t>
  </si>
  <si>
    <t>Velikiy Ustyug</t>
  </si>
  <si>
    <t>Persis</t>
  </si>
  <si>
    <t>Griffen</t>
  </si>
  <si>
    <t>Krasnokamensk</t>
  </si>
  <si>
    <t>Ivy</t>
  </si>
  <si>
    <t>Oake</t>
  </si>
  <si>
    <t>Dresi Wetan</t>
  </si>
  <si>
    <t>Tim</t>
  </si>
  <si>
    <t>O'Grady</t>
  </si>
  <si>
    <t>Licupis</t>
  </si>
  <si>
    <t>Elbert</t>
  </si>
  <si>
    <t>Aymes</t>
  </si>
  <si>
    <t>Omsk</t>
  </si>
  <si>
    <t>Ravi</t>
  </si>
  <si>
    <t>Durham</t>
  </si>
  <si>
    <t>CARNEGIE</t>
  </si>
  <si>
    <t>Ţafas</t>
  </si>
  <si>
    <t>Waite</t>
  </si>
  <si>
    <t>Martinson</t>
  </si>
  <si>
    <t>New York City</t>
  </si>
  <si>
    <t>Esra</t>
  </si>
  <si>
    <t>Noddings</t>
  </si>
  <si>
    <t>Fauske</t>
  </si>
  <si>
    <t>Lucina</t>
  </si>
  <si>
    <t>Danielsson</t>
  </si>
  <si>
    <t>Santa Maria da Vitória</t>
  </si>
  <si>
    <t>Ardisj</t>
  </si>
  <si>
    <t>Battersby</t>
  </si>
  <si>
    <t>SCOTTSDALE</t>
  </si>
  <si>
    <t>Dzyatlava</t>
  </si>
  <si>
    <t>Curtiss</t>
  </si>
  <si>
    <t>Zombo</t>
  </si>
  <si>
    <t>Nyssa</t>
  </si>
  <si>
    <t>Frisch</t>
  </si>
  <si>
    <t>IDA GROVE</t>
  </si>
  <si>
    <t>Strängnäs</t>
  </si>
  <si>
    <t>Joe</t>
  </si>
  <si>
    <t>Greatorex</t>
  </si>
  <si>
    <t>Arlena</t>
  </si>
  <si>
    <t>Langtree</t>
  </si>
  <si>
    <t>MUKWONAGO</t>
  </si>
  <si>
    <t>Candon</t>
  </si>
  <si>
    <t>Kerrie</t>
  </si>
  <si>
    <t>Dupree</t>
  </si>
  <si>
    <t>Xiong’erzhai</t>
  </si>
  <si>
    <t>Frederic</t>
  </si>
  <si>
    <t>Simonetti</t>
  </si>
  <si>
    <t>Třinec</t>
  </si>
  <si>
    <t>Sayres</t>
  </si>
  <si>
    <t>Rouch</t>
  </si>
  <si>
    <t>Rimouski</t>
  </si>
  <si>
    <t>Osbert</t>
  </si>
  <si>
    <t>LaBastida</t>
  </si>
  <si>
    <t>Lérida</t>
  </si>
  <si>
    <t>Dwayne</t>
  </si>
  <si>
    <t>O'Noulane</t>
  </si>
  <si>
    <t>Gikongoro</t>
  </si>
  <si>
    <t>Holly</t>
  </si>
  <si>
    <t>De la Harpe</t>
  </si>
  <si>
    <t>Damatou</t>
  </si>
  <si>
    <t>Tutill</t>
  </si>
  <si>
    <t>Katunayaka</t>
  </si>
  <si>
    <t>Shauna</t>
  </si>
  <si>
    <t>Braime</t>
  </si>
  <si>
    <t>FORT SMITH</t>
  </si>
  <si>
    <t>Rekowo Dolne</t>
  </si>
  <si>
    <t>Rafaellle</t>
  </si>
  <si>
    <t>Meharry</t>
  </si>
  <si>
    <t>Jabłonica Polska</t>
  </si>
  <si>
    <t>Early</t>
  </si>
  <si>
    <t>Clandillon</t>
  </si>
  <si>
    <t>San Pedro de Atacama</t>
  </si>
  <si>
    <t>Staffard</t>
  </si>
  <si>
    <t>Castelow</t>
  </si>
  <si>
    <t>AMES</t>
  </si>
  <si>
    <t>Shancheng</t>
  </si>
  <si>
    <t>Esdras</t>
  </si>
  <si>
    <t>Cutchee</t>
  </si>
  <si>
    <t>COLDWATER</t>
  </si>
  <si>
    <t>Buriti Bravo</t>
  </si>
  <si>
    <t>Selby</t>
  </si>
  <si>
    <t>Cusack</t>
  </si>
  <si>
    <t>Sirinhaém</t>
  </si>
  <si>
    <t>Trixy</t>
  </si>
  <si>
    <t>MacNish</t>
  </si>
  <si>
    <t>EATONTON</t>
  </si>
  <si>
    <t>Butel</t>
  </si>
  <si>
    <t>Siegfried</t>
  </si>
  <si>
    <t>Pettendrich</t>
  </si>
  <si>
    <t>Boulogne-sur-Mer</t>
  </si>
  <si>
    <t>Lutero</t>
  </si>
  <si>
    <t>Loveitt</t>
  </si>
  <si>
    <t>GRAY</t>
  </si>
  <si>
    <t>Tromsø</t>
  </si>
  <si>
    <t>Thom</t>
  </si>
  <si>
    <t>Dugdale</t>
  </si>
  <si>
    <t>Neundeut</t>
  </si>
  <si>
    <t>Maire</t>
  </si>
  <si>
    <t>Yurkevich</t>
  </si>
  <si>
    <t>Makur</t>
  </si>
  <si>
    <t>Connie</t>
  </si>
  <si>
    <t>Hebner</t>
  </si>
  <si>
    <t>Pergamino</t>
  </si>
  <si>
    <t>Dewey</t>
  </si>
  <si>
    <t>Bebbell</t>
  </si>
  <si>
    <t>EDINBURG</t>
  </si>
  <si>
    <t>Jiulonggang</t>
  </si>
  <si>
    <t>Conant</t>
  </si>
  <si>
    <t>Nichols</t>
  </si>
  <si>
    <t>Nueva Loja</t>
  </si>
  <si>
    <t>Lela</t>
  </si>
  <si>
    <t>Blagdon</t>
  </si>
  <si>
    <t>Arias</t>
  </si>
  <si>
    <t>Raphael</t>
  </si>
  <si>
    <t>Giordano</t>
  </si>
  <si>
    <t>Tubualá</t>
  </si>
  <si>
    <t>Mia</t>
  </si>
  <si>
    <t>Trainor</t>
  </si>
  <si>
    <t>LEWES</t>
  </si>
  <si>
    <t>Retkovci</t>
  </si>
  <si>
    <t>Jarad</t>
  </si>
  <si>
    <t>Harte</t>
  </si>
  <si>
    <t>TALLAHASSEE</t>
  </si>
  <si>
    <t>Miaoya</t>
  </si>
  <si>
    <t>Aristotle</t>
  </si>
  <si>
    <t>Gautrey</t>
  </si>
  <si>
    <t>Ţāmiyah</t>
  </si>
  <si>
    <t>Asia</t>
  </si>
  <si>
    <t>Boagey</t>
  </si>
  <si>
    <t>Gayle</t>
  </si>
  <si>
    <t>Marta</t>
  </si>
  <si>
    <t>Sterte</t>
  </si>
  <si>
    <t>Natu</t>
  </si>
  <si>
    <t>Frisby</t>
  </si>
  <si>
    <t>Riachão do Jacuípe</t>
  </si>
  <si>
    <t>Otha</t>
  </si>
  <si>
    <t>Baldetti</t>
  </si>
  <si>
    <t>Broto</t>
  </si>
  <si>
    <t>Afton</t>
  </si>
  <si>
    <t>Sobczak</t>
  </si>
  <si>
    <t>Qixian</t>
  </si>
  <si>
    <t>Vidovik</t>
  </si>
  <si>
    <t>Ibbitson</t>
  </si>
  <si>
    <t>Tumen</t>
  </si>
  <si>
    <t>Row</t>
  </si>
  <si>
    <t>Sawkins</t>
  </si>
  <si>
    <t>Setro</t>
  </si>
  <si>
    <t>Carree</t>
  </si>
  <si>
    <t>Winram</t>
  </si>
  <si>
    <t>Charlotte</t>
  </si>
  <si>
    <t>Maureene</t>
  </si>
  <si>
    <t>Gunnell</t>
  </si>
  <si>
    <t>Mīrābād</t>
  </si>
  <si>
    <t>Gideon</t>
  </si>
  <si>
    <t>Falkus</t>
  </si>
  <si>
    <t>Kayes</t>
  </si>
  <si>
    <t>Jeddy</t>
  </si>
  <si>
    <t>Esler</t>
  </si>
  <si>
    <t>Sūrān</t>
  </si>
  <si>
    <t>Rosie</t>
  </si>
  <si>
    <t>Aloway</t>
  </si>
  <si>
    <t>Bačka Topola</t>
  </si>
  <si>
    <t>Minetta</t>
  </si>
  <si>
    <t>Harridge</t>
  </si>
  <si>
    <t>Alis</t>
  </si>
  <si>
    <t>Mervin</t>
  </si>
  <si>
    <t>Bilyard</t>
  </si>
  <si>
    <t>Saint-Ouen</t>
  </si>
  <si>
    <t>Riobard</t>
  </si>
  <si>
    <t>Maywood</t>
  </si>
  <si>
    <t>Trmice</t>
  </si>
  <si>
    <t>Bat</t>
  </si>
  <si>
    <t>Tregale</t>
  </si>
  <si>
    <t>Daya</t>
  </si>
  <si>
    <t>Desmund</t>
  </si>
  <si>
    <t>Dixon</t>
  </si>
  <si>
    <t>ARLINGTON</t>
  </si>
  <si>
    <t>Dzhiginka</t>
  </si>
  <si>
    <t>Vic</t>
  </si>
  <si>
    <t>Kovelmann</t>
  </si>
  <si>
    <t>Quxia</t>
  </si>
  <si>
    <t>Cordula</t>
  </si>
  <si>
    <t>Abelevitz</t>
  </si>
  <si>
    <t>Malabang</t>
  </si>
  <si>
    <t>Corrinne</t>
  </si>
  <si>
    <t>Gucheng</t>
  </si>
  <si>
    <t>Alyssa</t>
  </si>
  <si>
    <t>Gowler</t>
  </si>
  <si>
    <t>BOSCOBEL</t>
  </si>
  <si>
    <t>Buriti Alegre</t>
  </si>
  <si>
    <t>Bink</t>
  </si>
  <si>
    <t>Pretsell</t>
  </si>
  <si>
    <t>CLEWISTON</t>
  </si>
  <si>
    <t>Nizhnyaya Tura</t>
  </si>
  <si>
    <t>Morris</t>
  </si>
  <si>
    <t>Goldney</t>
  </si>
  <si>
    <t>EDINA</t>
  </si>
  <si>
    <t>Sekongkang Bawah</t>
  </si>
  <si>
    <t>Sheff</t>
  </si>
  <si>
    <t>Mowlam</t>
  </si>
  <si>
    <t>Masebewa</t>
  </si>
  <si>
    <t>Dryburgh</t>
  </si>
  <si>
    <t>Caijiapu</t>
  </si>
  <si>
    <t>Christoforo</t>
  </si>
  <si>
    <t>Edge</t>
  </si>
  <si>
    <t>Taung</t>
  </si>
  <si>
    <t>Adriano</t>
  </si>
  <si>
    <t>Dovidian</t>
  </si>
  <si>
    <t>Corbin</t>
  </si>
  <si>
    <t>Kassman</t>
  </si>
  <si>
    <t>Wonokromo</t>
  </si>
  <si>
    <t>Merna</t>
  </si>
  <si>
    <t>McCree</t>
  </si>
  <si>
    <t>Cicurug</t>
  </si>
  <si>
    <t>Katey</t>
  </si>
  <si>
    <t>Seward</t>
  </si>
  <si>
    <t>Szczecinek</t>
  </si>
  <si>
    <t>Abry</t>
  </si>
  <si>
    <t>Xingdian</t>
  </si>
  <si>
    <t>Joyce</t>
  </si>
  <si>
    <t>Pettegre</t>
  </si>
  <si>
    <t>Reyna</t>
  </si>
  <si>
    <t>Hultberg</t>
  </si>
  <si>
    <t>Feicheng</t>
  </si>
  <si>
    <t>Karleen</t>
  </si>
  <si>
    <t>Connerry</t>
  </si>
  <si>
    <t>PICAYUNE</t>
  </si>
  <si>
    <t>Beaumont</t>
  </si>
  <si>
    <t>Dukey</t>
  </si>
  <si>
    <t>Heatlie</t>
  </si>
  <si>
    <t>Panolan</t>
  </si>
  <si>
    <t>Scarlett</t>
  </si>
  <si>
    <t>Digweed</t>
  </si>
  <si>
    <t>Cikubang</t>
  </si>
  <si>
    <t>Leda</t>
  </si>
  <si>
    <t>McVane</t>
  </si>
  <si>
    <t>Sishan</t>
  </si>
  <si>
    <t>Damiano</t>
  </si>
  <si>
    <t>Geraudy</t>
  </si>
  <si>
    <t>Libon</t>
  </si>
  <si>
    <t>Rozina</t>
  </si>
  <si>
    <t>Soanindrariny</t>
  </si>
  <si>
    <t>Keith</t>
  </si>
  <si>
    <t>Casaroli</t>
  </si>
  <si>
    <t>Weihe</t>
  </si>
  <si>
    <t>Arvie</t>
  </si>
  <si>
    <t>Chant</t>
  </si>
  <si>
    <t>Florence</t>
  </si>
  <si>
    <t>Rolph</t>
  </si>
  <si>
    <t>OVERLAND PARK</t>
  </si>
  <si>
    <t>Sibanicú</t>
  </si>
  <si>
    <t>Formby</t>
  </si>
  <si>
    <t>Tysmenytsya</t>
  </si>
  <si>
    <t>Symon</t>
  </si>
  <si>
    <t>Gotter</t>
  </si>
  <si>
    <t>Tall Ḩamīs</t>
  </si>
  <si>
    <t>Waberer</t>
  </si>
  <si>
    <t>Lincheng</t>
  </si>
  <si>
    <t>Roberta</t>
  </si>
  <si>
    <t>Gritsaev</t>
  </si>
  <si>
    <t>Velké Němčice</t>
  </si>
  <si>
    <t>Rorie</t>
  </si>
  <si>
    <t>Armand</t>
  </si>
  <si>
    <t>Des Moines</t>
  </si>
  <si>
    <t>Jonathan</t>
  </si>
  <si>
    <t>Gonsalvo</t>
  </si>
  <si>
    <t>Santa Elena de Uairén</t>
  </si>
  <si>
    <t>Corty</t>
  </si>
  <si>
    <t>Tomik</t>
  </si>
  <si>
    <t>Katrineholm</t>
  </si>
  <si>
    <t>Salvidor</t>
  </si>
  <si>
    <t>Tokell</t>
  </si>
  <si>
    <t>Paiisa</t>
  </si>
  <si>
    <t>Granger</t>
  </si>
  <si>
    <t>Skingle</t>
  </si>
  <si>
    <t>Tirapata</t>
  </si>
  <si>
    <t>Gerti</t>
  </si>
  <si>
    <t>Chue</t>
  </si>
  <si>
    <t>Umuahia</t>
  </si>
  <si>
    <t>Kalila</t>
  </si>
  <si>
    <t>Honeyghan</t>
  </si>
  <si>
    <t>Xuxiake</t>
  </si>
  <si>
    <t>Dolf</t>
  </si>
  <si>
    <t>Ivanin</t>
  </si>
  <si>
    <t>TERRE HAUTE</t>
  </si>
  <si>
    <t>Lesnoy</t>
  </si>
  <si>
    <t>Fanni</t>
  </si>
  <si>
    <t>Noor</t>
  </si>
  <si>
    <t>Castellon De La Plana/Castello De La Pla</t>
  </si>
  <si>
    <t>Leticia</t>
  </si>
  <si>
    <t>Hakewell</t>
  </si>
  <si>
    <t>Chuhuyiv</t>
  </si>
  <si>
    <t>Braden</t>
  </si>
  <si>
    <t>Bromby</t>
  </si>
  <si>
    <t>Ḩadīdah</t>
  </si>
  <si>
    <t>Lorant</t>
  </si>
  <si>
    <t>Bole</t>
  </si>
  <si>
    <t>Zilang</t>
  </si>
  <si>
    <t>Rochette</t>
  </si>
  <si>
    <t>Giller</t>
  </si>
  <si>
    <t>MCMINNVILLE</t>
  </si>
  <si>
    <t>Metahāra</t>
  </si>
  <si>
    <t>Fancy</t>
  </si>
  <si>
    <t>Crowter</t>
  </si>
  <si>
    <t>Formiga</t>
  </si>
  <si>
    <t>Olva</t>
  </si>
  <si>
    <t>Pimblott</t>
  </si>
  <si>
    <t>Boston</t>
  </si>
  <si>
    <t>Hally</t>
  </si>
  <si>
    <t>MacCroary</t>
  </si>
  <si>
    <t>Wukeshu</t>
  </si>
  <si>
    <t>Bree</t>
  </si>
  <si>
    <t>Laffranconi</t>
  </si>
  <si>
    <t>Néa Palátia</t>
  </si>
  <si>
    <t>Anestassia</t>
  </si>
  <si>
    <t>Boulds</t>
  </si>
  <si>
    <t>STRASBURG</t>
  </si>
  <si>
    <t>Lapas</t>
  </si>
  <si>
    <t>Chad</t>
  </si>
  <si>
    <t>Kyttor</t>
  </si>
  <si>
    <t>Jungkat Selatan</t>
  </si>
  <si>
    <t>Olczak</t>
  </si>
  <si>
    <t>Strellc i Epërm</t>
  </si>
  <si>
    <t>Wilone</t>
  </si>
  <si>
    <t>Elecum</t>
  </si>
  <si>
    <t>CHOUTEAU</t>
  </si>
  <si>
    <t>Tigaon</t>
  </si>
  <si>
    <t>Kailey</t>
  </si>
  <si>
    <t>Fiddeman</t>
  </si>
  <si>
    <t>HEREFORD</t>
  </si>
  <si>
    <t>Nerk’in Getashen</t>
  </si>
  <si>
    <t>Clareta</t>
  </si>
  <si>
    <t>Pozzi</t>
  </si>
  <si>
    <t>Toulon</t>
  </si>
  <si>
    <t>Janene</t>
  </si>
  <si>
    <t>Martel</t>
  </si>
  <si>
    <t>Okulovka</t>
  </si>
  <si>
    <t>Janel</t>
  </si>
  <si>
    <t>Lavarack</t>
  </si>
  <si>
    <t>Aguazul</t>
  </si>
  <si>
    <t>Ruthie</t>
  </si>
  <si>
    <t>Gleder</t>
  </si>
  <si>
    <t>CULLMAN</t>
  </si>
  <si>
    <t>Jingang</t>
  </si>
  <si>
    <t>Berkeley</t>
  </si>
  <si>
    <t>Blackston</t>
  </si>
  <si>
    <t>OKEENE</t>
  </si>
  <si>
    <t>Dongluqiao</t>
  </si>
  <si>
    <t>Markus</t>
  </si>
  <si>
    <t>Sings</t>
  </si>
  <si>
    <t>Gui</t>
  </si>
  <si>
    <t>Beeson</t>
  </si>
  <si>
    <t>Qaryūt</t>
  </si>
  <si>
    <t>Vergil</t>
  </si>
  <si>
    <t>Readhead</t>
  </si>
  <si>
    <t>Cinyawar</t>
  </si>
  <si>
    <t>Ania</t>
  </si>
  <si>
    <t>Hegg</t>
  </si>
  <si>
    <t>Bremerhaven</t>
  </si>
  <si>
    <t>Terza</t>
  </si>
  <si>
    <t>Burchess</t>
  </si>
  <si>
    <t>Libiąż</t>
  </si>
  <si>
    <t>Skirrow</t>
  </si>
  <si>
    <t>Wengtian</t>
  </si>
  <si>
    <t>Weber</t>
  </si>
  <si>
    <t>Beadnall</t>
  </si>
  <si>
    <t>Niebylec</t>
  </si>
  <si>
    <t>Marcela</t>
  </si>
  <si>
    <t>Corrett</t>
  </si>
  <si>
    <t>Lirang</t>
  </si>
  <si>
    <t>Vinita</t>
  </si>
  <si>
    <t>Beardsdale</t>
  </si>
  <si>
    <t>Neob</t>
  </si>
  <si>
    <t>Kym</t>
  </si>
  <si>
    <t>Rickaert</t>
  </si>
  <si>
    <t>GRAYSON</t>
  </si>
  <si>
    <t>Alcaldedíaz</t>
  </si>
  <si>
    <t>Tuckie</t>
  </si>
  <si>
    <t>Staniland</t>
  </si>
  <si>
    <t>Growong Lor</t>
  </si>
  <si>
    <t>Berke</t>
  </si>
  <si>
    <t>McKinnon</t>
  </si>
  <si>
    <t>Truskavets</t>
  </si>
  <si>
    <t>Chryste</t>
  </si>
  <si>
    <t>Prawle</t>
  </si>
  <si>
    <t>Allen</t>
  </si>
  <si>
    <t>Marven</t>
  </si>
  <si>
    <t>MacNess</t>
  </si>
  <si>
    <t>Mauren</t>
  </si>
  <si>
    <t>Dore</t>
  </si>
  <si>
    <t>Broadnicke</t>
  </si>
  <si>
    <t>Chengtou</t>
  </si>
  <si>
    <t>Paulita</t>
  </si>
  <si>
    <t>Mostyn</t>
  </si>
  <si>
    <t>JEFFERSON CITY</t>
  </si>
  <si>
    <t>Tanlin</t>
  </si>
  <si>
    <t>Inglese</t>
  </si>
  <si>
    <t>ROSHOLT</t>
  </si>
  <si>
    <t>Proletarsk</t>
  </si>
  <si>
    <t>Colly</t>
  </si>
  <si>
    <t>Abrahamian</t>
  </si>
  <si>
    <t>Leteki</t>
  </si>
  <si>
    <t>Rosaleen</t>
  </si>
  <si>
    <t>Brade</t>
  </si>
  <si>
    <t>Perm</t>
  </si>
  <si>
    <t>Shelbi</t>
  </si>
  <si>
    <t>Paske</t>
  </si>
  <si>
    <t>Sarandi</t>
  </si>
  <si>
    <t>Barrie</t>
  </si>
  <si>
    <t>Kondrachenko</t>
  </si>
  <si>
    <t>Bridel</t>
  </si>
  <si>
    <t>Drona</t>
  </si>
  <si>
    <t>Plaridel</t>
  </si>
  <si>
    <t>Kristan</t>
  </si>
  <si>
    <t>Shaxby</t>
  </si>
  <si>
    <t>MIDDLETOWN</t>
  </si>
  <si>
    <t>Ibiá</t>
  </si>
  <si>
    <t>Phyllis</t>
  </si>
  <si>
    <t>O' Hogan</t>
  </si>
  <si>
    <t>Karangpeton</t>
  </si>
  <si>
    <t>Bettine</t>
  </si>
  <si>
    <t>Gaitone</t>
  </si>
  <si>
    <t>Changtian</t>
  </si>
  <si>
    <t>Lauree</t>
  </si>
  <si>
    <t>Pearn</t>
  </si>
  <si>
    <t>Ishigaki</t>
  </si>
  <si>
    <t>Cotterel</t>
  </si>
  <si>
    <t>KALISPELL</t>
  </si>
  <si>
    <t>Tyresö</t>
  </si>
  <si>
    <t>Lillis</t>
  </si>
  <si>
    <t>Garthside</t>
  </si>
  <si>
    <t>Progreso</t>
  </si>
  <si>
    <t>Inge</t>
  </si>
  <si>
    <t>Rickardes</t>
  </si>
  <si>
    <t>Podkumskiy</t>
  </si>
  <si>
    <t>Abey</t>
  </si>
  <si>
    <t>Agirre</t>
  </si>
  <si>
    <t>Barili</t>
  </si>
  <si>
    <t>Ferdy</t>
  </si>
  <si>
    <t>Dobinson</t>
  </si>
  <si>
    <t>Passagem</t>
  </si>
  <si>
    <t>Mick</t>
  </si>
  <si>
    <t>Coniam</t>
  </si>
  <si>
    <t>Priekule</t>
  </si>
  <si>
    <t>Fecha (dd/mm/aaaa)</t>
  </si>
  <si>
    <t>Pesos colombianos por UVR</t>
  </si>
  <si>
    <t>Variación anual porcentual (%)</t>
  </si>
  <si>
    <t>Es reportable?</t>
  </si>
  <si>
    <t>SALDO UVR</t>
  </si>
  <si>
    <t>Numero días inactivo</t>
  </si>
  <si>
    <t>Cliente</t>
  </si>
  <si>
    <t>Valor UVR FECHA</t>
  </si>
  <si>
    <t>No</t>
  </si>
  <si>
    <t>Si</t>
  </si>
  <si>
    <t>Row Labels</t>
  </si>
  <si>
    <t>Grand Total</t>
  </si>
  <si>
    <t>Cantidad cuentas</t>
  </si>
  <si>
    <t>Values</t>
  </si>
  <si>
    <t>Promedio días inactivo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</si>
</sst>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[$-580A]dd/mm/yyyy"/>
    <numFmt numFmtId="166" formatCode="_-* #,##0_-;\-* #,##0_-;_-* &quot;-&quot;??_-;_-@_-"/>
  </numFmts>
  <fonts count="6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color theme="1"/>
      <name val="Arial"/>
      <family val="2"/>
    </font>
    <font>
      <sz val="8.25"/>
      <color rgb="FFFFFFFF"/>
      <name val="Oracle Sans"/>
    </font>
    <font>
      <sz val="8.25"/>
      <color rgb="FF000000"/>
      <name val="Oracle Sans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4D4F5B"/>
        <bgColor rgb="FF4D4F5B"/>
      </patternFill>
    </fill>
    <fill>
      <patternFill patternType="solid">
        <fgColor rgb="FFFFFFFF"/>
        <bgColor rgb="FFFFFFFF"/>
      </patternFill>
    </fill>
  </fills>
  <borders count="1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/>
      <right style="thin">
        <color rgb="FFE0E1E1"/>
      </right>
      <top/>
      <bottom style="thin">
        <color rgb="FFE0E1E1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31">
    <xf numFmtId="0" fontId="0" fillId="0" borderId="0" xfId="0"/>
    <xf numFmtId="0" fontId="2" fillId="0" borderId="1" xfId="0" applyFont="1" applyBorder="1" applyAlignment="1">
      <alignment wrapText="1"/>
    </xf>
    <xf numFmtId="0" fontId="2" fillId="0" borderId="1" xfId="0" applyFont="1" applyBorder="1" applyAlignment="1">
      <alignment horizontal="right" wrapText="1"/>
    </xf>
    <xf numFmtId="14" fontId="0" fillId="0" borderId="0" xfId="0" applyNumberFormat="1"/>
    <xf numFmtId="14" fontId="2" fillId="0" borderId="1" xfId="0" applyNumberFormat="1" applyFont="1" applyBorder="1" applyAlignment="1">
      <alignment horizontal="right" wrapText="1"/>
    </xf>
    <xf numFmtId="0" fontId="2" fillId="0" borderId="2" xfId="0" applyFont="1" applyBorder="1" applyAlignment="1">
      <alignment wrapText="1"/>
    </xf>
    <xf numFmtId="0" fontId="2" fillId="0" borderId="3" xfId="0" applyFont="1" applyBorder="1" applyAlignment="1">
      <alignment horizontal="right" wrapText="1"/>
    </xf>
    <xf numFmtId="0" fontId="2" fillId="0" borderId="4" xfId="0" applyFont="1" applyBorder="1" applyAlignment="1">
      <alignment wrapText="1"/>
    </xf>
    <xf numFmtId="0" fontId="2" fillId="0" borderId="4" xfId="0" applyFont="1" applyBorder="1" applyAlignment="1">
      <alignment vertical="center"/>
    </xf>
    <xf numFmtId="0" fontId="2" fillId="0" borderId="5" xfId="0" applyFont="1" applyBorder="1" applyAlignment="1">
      <alignment wrapText="1"/>
    </xf>
    <xf numFmtId="0" fontId="2" fillId="0" borderId="6" xfId="0" applyFont="1" applyBorder="1" applyAlignment="1">
      <alignment wrapText="1"/>
    </xf>
    <xf numFmtId="0" fontId="2" fillId="0" borderId="7" xfId="0" applyFont="1" applyBorder="1" applyAlignment="1">
      <alignment wrapText="1"/>
    </xf>
    <xf numFmtId="0" fontId="2" fillId="0" borderId="8" xfId="0" applyFont="1" applyBorder="1" applyAlignment="1">
      <alignment horizontal="right" wrapText="1"/>
    </xf>
    <xf numFmtId="0" fontId="2" fillId="0" borderId="9" xfId="0" applyFont="1" applyBorder="1" applyAlignment="1">
      <alignment wrapText="1"/>
    </xf>
    <xf numFmtId="0" fontId="2" fillId="0" borderId="9" xfId="0" applyFont="1" applyBorder="1" applyAlignment="1">
      <alignment horizontal="right" wrapText="1"/>
    </xf>
    <xf numFmtId="14" fontId="2" fillId="0" borderId="9" xfId="0" applyNumberFormat="1" applyFont="1" applyBorder="1" applyAlignment="1">
      <alignment horizontal="right" wrapText="1"/>
    </xf>
    <xf numFmtId="0" fontId="2" fillId="0" borderId="10" xfId="0" applyFont="1" applyBorder="1" applyAlignment="1">
      <alignment wrapText="1"/>
    </xf>
    <xf numFmtId="2" fontId="0" fillId="0" borderId="0" xfId="0" applyNumberFormat="1"/>
    <xf numFmtId="0" fontId="3" fillId="2" borderId="11" xfId="0" applyFont="1" applyFill="1" applyBorder="1" applyAlignment="1">
      <alignment horizontal="left" vertical="center"/>
    </xf>
    <xf numFmtId="0" fontId="3" fillId="2" borderId="11" xfId="0" applyFont="1" applyFill="1" applyBorder="1" applyAlignment="1">
      <alignment horizontal="center" vertical="center"/>
    </xf>
    <xf numFmtId="165" fontId="3" fillId="2" borderId="11" xfId="0" applyNumberFormat="1" applyFont="1" applyFill="1" applyBorder="1" applyAlignment="1">
      <alignment horizontal="left" vertical="center"/>
    </xf>
    <xf numFmtId="39" fontId="4" fillId="3" borderId="11" xfId="0" applyNumberFormat="1" applyFont="1" applyFill="1" applyBorder="1" applyAlignment="1">
      <alignment horizontal="right" vertical="center"/>
    </xf>
    <xf numFmtId="14" fontId="2" fillId="0" borderId="6" xfId="0" applyNumberFormat="1" applyFont="1" applyBorder="1" applyAlignment="1">
      <alignment wrapText="1"/>
    </xf>
    <xf numFmtId="0" fontId="4" fillId="3" borderId="11" xfId="0" applyFont="1" applyFill="1" applyBorder="1" applyAlignment="1">
      <alignment horizontal="right" vertical="center"/>
    </xf>
    <xf numFmtId="166" fontId="0" fillId="0" borderId="0" xfId="1" applyNumberFormat="1" applyFont="1"/>
    <xf numFmtId="166" fontId="2" fillId="0" borderId="1" xfId="1" applyNumberFormat="1" applyFont="1" applyBorder="1" applyAlignment="1">
      <alignment wrapText="1"/>
    </xf>
    <xf numFmtId="166" fontId="0" fillId="0" borderId="0" xfId="0" applyNumberFormat="1"/>
    <xf numFmtId="166" fontId="2" fillId="0" borderId="6" xfId="1" applyNumberFormat="1" applyFont="1" applyBorder="1" applyAlignment="1">
      <alignment wrapText="1"/>
    </xf>
    <xf numFmtId="166" fontId="2" fillId="0" borderId="9" xfId="1" applyNumberFormat="1" applyFont="1" applyBorder="1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</cellXfs>
  <cellStyles count="2">
    <cellStyle name="Comma" xfId="1" builtinId="3"/>
    <cellStyle name="Normal" xfId="0" builtinId="0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m/d/yyyy"/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m/d/yyyy"/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_-* #,##0_-;\-* #,##0_-;_-* &quot;-&quot;??_-;_-@_-"/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[ICETEX - Copy.xlsm]Analisis!ResumenICETEX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s-CO"/>
              <a:t>Resumen de cuentas reportables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Analisis!$C$3:$C$4</c:f>
              <c:strCache>
                <c:ptCount val="1"/>
                <c:pt idx="0">
                  <c:v>Cantidad cuentas</c:v>
                </c:pt>
              </c:strCache>
            </c:strRef>
          </c:tx>
          <c:invertIfNegative val="0"/>
          <c:cat>
            <c:strRef>
              <c:f>Analisis!$B$5:$B$7</c:f>
              <c:strCache>
                <c:ptCount val="2"/>
                <c:pt idx="0">
                  <c:v>No</c:v>
                </c:pt>
                <c:pt idx="1">
                  <c:v>Si</c:v>
                </c:pt>
              </c:strCache>
            </c:strRef>
          </c:cat>
          <c:val>
            <c:numRef>
              <c:f>Analisis!$C$5:$C$7</c:f>
              <c:numCache>
                <c:formatCode>General</c:formatCode>
                <c:ptCount val="2"/>
                <c:pt idx="0">
                  <c:v>637</c:v>
                </c:pt>
                <c:pt idx="1">
                  <c:v>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8B-4D8C-AEA1-90CC853339CC}"/>
            </c:ext>
          </c:extLst>
        </c:ser>
        <c:ser>
          <c:idx val="1"/>
          <c:order val="1"/>
          <c:tx>
            <c:strRef>
              <c:f>Analisis!$D$3:$D$4</c:f>
              <c:strCache>
                <c:ptCount val="1"/>
                <c:pt idx="0">
                  <c:v>Promedio días inactivo</c:v>
                </c:pt>
              </c:strCache>
            </c:strRef>
          </c:tx>
          <c:invertIfNegative val="0"/>
          <c:cat>
            <c:strRef>
              <c:f>Analisis!$B$5:$B$7</c:f>
              <c:strCache>
                <c:ptCount val="2"/>
                <c:pt idx="0">
                  <c:v>No</c:v>
                </c:pt>
                <c:pt idx="1">
                  <c:v>Si</c:v>
                </c:pt>
              </c:strCache>
            </c:strRef>
          </c:cat>
          <c:val>
            <c:numRef>
              <c:f>Analisis!$D$5:$D$7</c:f>
              <c:numCache>
                <c:formatCode>0.00</c:formatCode>
                <c:ptCount val="2"/>
                <c:pt idx="0">
                  <c:v>959</c:v>
                </c:pt>
                <c:pt idx="1">
                  <c:v>1088.5179063360881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8B-4D8C-AEA1-90CC85333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70679120"/>
        <c:axId val="870675760"/>
      </c:barChart>
      <c:catAx>
        <c:axId val="870679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70675760"/>
        <c:crosses val="autoZero"/>
        <c:auto val="1"/>
        <c:lblAlgn val="ctr"/>
        <c:lblOffset val="100"/>
        <c:noMultiLvlLbl val="0"/>
      </c:catAx>
      <c:valAx>
        <c:axId val="870675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7067912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279400</xdr:colOff>
          <xdr:row>8</xdr:row>
          <xdr:rowOff>88900</xdr:rowOff>
        </xdr:from>
        <xdr:to>
          <xdr:col>16</xdr:col>
          <xdr:colOff>457200</xdr:colOff>
          <xdr:row>11</xdr:row>
          <xdr:rowOff>31750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TXT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368300</xdr:colOff>
          <xdr:row>12</xdr:row>
          <xdr:rowOff>88900</xdr:rowOff>
        </xdr:from>
        <xdr:to>
          <xdr:col>16</xdr:col>
          <xdr:colOff>361950</xdr:colOff>
          <xdr:row>15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Ejecutar proceso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469900</xdr:colOff>
      <xdr:row>1</xdr:row>
      <xdr:rowOff>69850</xdr:rowOff>
    </xdr:from>
    <xdr:to>
      <xdr:col>13</xdr:col>
      <xdr:colOff>63500</xdr:colOff>
      <xdr:row>22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69585C9-339B-BA93-A2B0-C3DA595FEB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TR924EG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2"/>
    </definedNames>
    <sheetDataSet>
      <sheetData sheetId="0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lipe Mesa" refreshedDate="45837.788309027776" createdVersion="3" refreshedVersion="8" minRefreshableVersion="3" recordCount="1000" xr:uid="{F7224C40-4BE4-4351-8A01-1C696854655E}">
  <cacheSource type="worksheet">
    <worksheetSource ref="A1:O1001" sheet="ICETEX"/>
  </cacheSource>
  <cacheFields count="15">
    <cacheField name="id" numFmtId="0">
      <sharedItems containsSemiMixedTypes="0" containsString="0" containsNumber="1" containsInteger="1" minValue="1" maxValue="1000"/>
    </cacheField>
    <cacheField name="nombre_titular" numFmtId="0">
      <sharedItems/>
    </cacheField>
    <cacheField name="apellido_titular" numFmtId="0">
      <sharedItems/>
    </cacheField>
    <cacheField name="número_cuenta" numFmtId="0">
      <sharedItems containsSemiMixedTypes="0" containsString="0" containsNumber="1" containsInteger="1" minValue="11000138" maxValue="325182755"/>
    </cacheField>
    <cacheField name="tipo_cuenta" numFmtId="0">
      <sharedItems/>
    </cacheField>
    <cacheField name="saldo_actual" numFmtId="166">
      <sharedItems containsSemiMixedTypes="0" containsString="0" containsNumber="1" minValue="12005.92" maxValue="218738.26"/>
    </cacheField>
    <cacheField name="fecha_ultimo_movimiento" numFmtId="14">
      <sharedItems containsSemiMixedTypes="0" containsNonDate="0" containsDate="1" containsString="0" minDate="2020-01-05T00:00:00" maxDate="2025-06-21T00:00:00"/>
    </cacheField>
    <cacheField name="fecha_apertura" numFmtId="14">
      <sharedItems containsSemiMixedTypes="0" containsNonDate="0" containsDate="1" containsString="0" minDate="2016-01-02T00:00:00" maxDate="2018-12-30T00:00:00"/>
    </cacheField>
    <cacheField name="sucursal" numFmtId="0">
      <sharedItems/>
    </cacheField>
    <cacheField name="ciudad_sucursal" numFmtId="0">
      <sharedItems/>
    </cacheField>
    <cacheField name="Numero días inactivo" numFmtId="2">
      <sharedItems containsSemiMixedTypes="0" containsString="0" containsNumber="1" containsInteger="1" minValue="9" maxValue="2002"/>
    </cacheField>
    <cacheField name="Cliente" numFmtId="0">
      <sharedItems/>
    </cacheField>
    <cacheField name="Valor UVR FECHA" numFmtId="166">
      <sharedItems containsSemiMixedTypes="0" containsString="0" containsNumber="1" minValue="270.75689999999997" maxValue="391.71499999999997"/>
    </cacheField>
    <cacheField name="SALDO UVR" numFmtId="166">
      <sharedItems containsSemiMixedTypes="0" containsString="0" containsNumber="1" containsInteger="1" minValue="32" maxValue="801"/>
    </cacheField>
    <cacheField name="Es reportable?" numFmtId="0">
      <sharedItems count="2">
        <s v="No"/>
        <s v="Si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1"/>
    <s v="Ulysses"/>
    <s v="Sawrey"/>
    <n v="123308825"/>
    <s v="ahorros"/>
    <n v="97317.25"/>
    <d v="2025-06-13T00:00:00"/>
    <d v="2018-10-16T00:00:00"/>
    <s v="RICHMOND"/>
    <s v="Bauchi"/>
    <n v="16"/>
    <s v="Activo"/>
    <n v="391.34039999999999"/>
    <n v="249"/>
    <x v="0"/>
  </r>
  <r>
    <n v="2"/>
    <s v="Moise"/>
    <s v="Matus"/>
    <n v="53202130"/>
    <s v="ahorros"/>
    <n v="35823.379999999997"/>
    <d v="2020-06-13T00:00:00"/>
    <d v="2016-04-29T00:00:00"/>
    <s v="WALHALLA"/>
    <s v="Pasargunung"/>
    <n v="1842"/>
    <s v="Inactivo"/>
    <n v="276.49380000000002"/>
    <n v="130"/>
    <x v="1"/>
  </r>
  <r>
    <n v="3"/>
    <s v="Nicol"/>
    <s v="Kerrane"/>
    <n v="101902298"/>
    <s v="ahorros"/>
    <n v="164322.98000000001"/>
    <d v="2020-01-07T00:00:00"/>
    <d v="2017-04-22T00:00:00"/>
    <s v="SIOUX FALLS"/>
    <s v="San Rafael Oriente"/>
    <n v="2000"/>
    <s v="Inactivo"/>
    <n v="270.77429999999998"/>
    <n v="607"/>
    <x v="0"/>
  </r>
  <r>
    <n v="4"/>
    <s v="Barn"/>
    <s v="Sambell"/>
    <n v="83901744"/>
    <s v="ahorros"/>
    <n v="178850.19"/>
    <d v="2022-07-26T00:00:00"/>
    <d v="2017-09-06T00:00:00"/>
    <s v="BIRMINGHAM"/>
    <s v="Victoria"/>
    <n v="1069"/>
    <s v="Inactivo"/>
    <n v="311.08569999999997"/>
    <n v="575"/>
    <x v="0"/>
  </r>
  <r>
    <n v="5"/>
    <s v="Dianemarie"/>
    <s v="Deniseau"/>
    <n v="51409210"/>
    <s v="ahorros"/>
    <n v="109913.38"/>
    <d v="2022-09-24T00:00:00"/>
    <d v="2016-01-02T00:00:00"/>
    <s v="ELIZABETH CITY"/>
    <s v="Qilin"/>
    <n v="1009"/>
    <s v="Inactivo"/>
    <n v="315.59589999999997"/>
    <n v="348"/>
    <x v="0"/>
  </r>
  <r>
    <n v="6"/>
    <s v="Marcella"/>
    <s v="Everingham"/>
    <n v="91909217"/>
    <s v="ahorros"/>
    <n v="209675.33"/>
    <d v="2020-09-02T00:00:00"/>
    <d v="2018-06-11T00:00:00"/>
    <s v="ROSEMOUNT"/>
    <s v="Viana"/>
    <n v="1761"/>
    <s v="Inactivo"/>
    <n v="274.58999999999997"/>
    <n v="764"/>
    <x v="0"/>
  </r>
  <r>
    <n v="7"/>
    <s v="Kari"/>
    <s v="Jewess"/>
    <n v="42207308"/>
    <s v="ahorros"/>
    <n v="216363.76"/>
    <d v="2022-05-28T00:00:00"/>
    <d v="2017-04-09T00:00:00"/>
    <s v="NEWARK"/>
    <s v="Caraballeda"/>
    <n v="1128"/>
    <s v="Inactivo"/>
    <n v="305.72480000000002"/>
    <n v="708"/>
    <x v="0"/>
  </r>
  <r>
    <n v="8"/>
    <s v="Flin"/>
    <s v="Cocozza"/>
    <n v="61104877"/>
    <s v="ahorros"/>
    <n v="176662.15"/>
    <d v="2024-07-20T00:00:00"/>
    <d v="2016-08-16T00:00:00"/>
    <s v="NORCROSS"/>
    <s v="Taimaman"/>
    <n v="344"/>
    <s v="Activo"/>
    <n v="374.08609999999999"/>
    <n v="472"/>
    <x v="0"/>
  </r>
  <r>
    <n v="9"/>
    <s v="Minnnie"/>
    <s v="Jeandon"/>
    <n v="84309125"/>
    <s v="corriente"/>
    <n v="12575.97"/>
    <d v="2025-06-01T00:00:00"/>
    <d v="2016-09-21T00:00:00"/>
    <s v="PARIS"/>
    <s v="Sępopol"/>
    <n v="28"/>
    <s v="Activo"/>
    <n v="390.3451"/>
    <n v="32"/>
    <x v="0"/>
  </r>
  <r>
    <n v="10"/>
    <s v="Reggie"/>
    <s v="Amyes"/>
    <n v="71909062"/>
    <s v="ahorros"/>
    <n v="115394.38"/>
    <d v="2024-02-09T00:00:00"/>
    <d v="2017-05-01T00:00:00"/>
    <s v="ROSEMONT"/>
    <s v="Chernyanka"/>
    <n v="506"/>
    <s v="Inactivo"/>
    <n v="359.94589999999999"/>
    <n v="321"/>
    <x v="1"/>
  </r>
  <r>
    <n v="11"/>
    <s v="Leupold"/>
    <s v="Darragh"/>
    <n v="107005254"/>
    <s v="ahorros"/>
    <n v="129166.04"/>
    <d v="2021-06-08T00:00:00"/>
    <d v="2016-06-23T00:00:00"/>
    <s v="LAKEWOOD"/>
    <s v="Xinhua"/>
    <n v="1482"/>
    <s v="Inactivo"/>
    <n v="281.5127"/>
    <n v="459"/>
    <x v="0"/>
  </r>
  <r>
    <n v="12"/>
    <s v="Dorine"/>
    <s v="Lambregts"/>
    <n v="122239322"/>
    <s v="corriente"/>
    <n v="84049.53"/>
    <d v="2025-05-03T00:00:00"/>
    <d v="2016-04-17T00:00:00"/>
    <s v="CARLSBAD"/>
    <s v="Urasqui"/>
    <n v="57"/>
    <s v="Activo"/>
    <n v="388.13350000000003"/>
    <n v="217"/>
    <x v="0"/>
  </r>
  <r>
    <n v="13"/>
    <s v="Rita"/>
    <s v="Wraighte"/>
    <n v="75918295"/>
    <s v="ahorros"/>
    <n v="119493.92"/>
    <d v="2020-09-29T00:00:00"/>
    <d v="2018-01-26T00:00:00"/>
    <s v="BOSOBEL"/>
    <s v="São José de Ribamar"/>
    <n v="1734"/>
    <s v="Inactivo"/>
    <n v="274.5772"/>
    <n v="435"/>
    <x v="0"/>
  </r>
  <r>
    <n v="14"/>
    <s v="Orren"/>
    <s v="Wilkie"/>
    <n v="107006431"/>
    <s v="corriente"/>
    <n v="110643.28"/>
    <d v="2025-02-13T00:00:00"/>
    <d v="2016-12-24T00:00:00"/>
    <s v="LAKEWOOD"/>
    <s v="Bezhta"/>
    <n v="136"/>
    <s v="Activo"/>
    <n v="378.89139999999998"/>
    <n v="292"/>
    <x v="0"/>
  </r>
  <r>
    <n v="15"/>
    <s v="Emlyn"/>
    <s v="Gulliver"/>
    <n v="61309229"/>
    <s v="ahorros"/>
    <n v="212455.81"/>
    <d v="2021-09-07T00:00:00"/>
    <d v="2016-04-22T00:00:00"/>
    <s v="NASHVILLE"/>
    <s v="Nangewer"/>
    <n v="1391"/>
    <s v="Inactivo"/>
    <n v="285.23869999999999"/>
    <n v="745"/>
    <x v="0"/>
  </r>
  <r>
    <n v="16"/>
    <s v="Winifred"/>
    <s v="Collister"/>
    <n v="64201120"/>
    <s v="ahorros"/>
    <n v="90310.91"/>
    <d v="2024-12-09T00:00:00"/>
    <d v="2018-09-16T00:00:00"/>
    <s v="ROSSVILLE"/>
    <s v="Khūgyāṉī"/>
    <n v="202"/>
    <s v="Activo"/>
    <n v="376.35019999999997"/>
    <n v="240"/>
    <x v="0"/>
  </r>
  <r>
    <n v="17"/>
    <s v="Erma"/>
    <s v="Leirmonth"/>
    <n v="65201064"/>
    <s v="ahorros"/>
    <n v="122568.83"/>
    <d v="2023-07-06T00:00:00"/>
    <d v="2017-10-10T00:00:00"/>
    <s v="RICHMOND"/>
    <s v="Oklahoma City"/>
    <n v="724"/>
    <s v="Inactivo"/>
    <n v="348.4572"/>
    <n v="352"/>
    <x v="0"/>
  </r>
  <r>
    <n v="18"/>
    <s v="Carolee"/>
    <s v="Heine"/>
    <n v="61103153"/>
    <s v="corriente"/>
    <n v="141078.45000000001"/>
    <d v="2021-07-25T00:00:00"/>
    <d v="2016-02-21T00:00:00"/>
    <s v="BUFORD"/>
    <s v="Varāmīn"/>
    <n v="1435"/>
    <s v="Inactivo"/>
    <n v="284.65989999999999"/>
    <n v="496"/>
    <x v="0"/>
  </r>
  <r>
    <n v="19"/>
    <s v="Catina"/>
    <s v="Kirimaa"/>
    <n v="21213397"/>
    <s v="corriente"/>
    <n v="68656.92"/>
    <d v="2021-01-15T00:00:00"/>
    <d v="2016-07-13T00:00:00"/>
    <s v="MONTEBELLO"/>
    <s v="Agrela"/>
    <n v="1626"/>
    <s v="Inactivo"/>
    <n v="274.86290000000002"/>
    <n v="250"/>
    <x v="1"/>
  </r>
  <r>
    <n v="20"/>
    <s v="Berna"/>
    <s v="Gillman"/>
    <n v="53102117"/>
    <s v="ahorros"/>
    <n v="83692.850000000006"/>
    <d v="2023-08-28T00:00:00"/>
    <d v="2018-12-12T00:00:00"/>
    <s v="HERMITAGE"/>
    <s v="Otra Banda"/>
    <n v="671"/>
    <s v="Inactivo"/>
    <n v="350.68549999999999"/>
    <n v="239"/>
    <x v="1"/>
  </r>
  <r>
    <n v="21"/>
    <s v="Lida"/>
    <s v="Wivell"/>
    <n v="84303008"/>
    <s v="corriente"/>
    <n v="33374.370000000003"/>
    <d v="2023-04-17T00:00:00"/>
    <d v="2017-10-01T00:00:00"/>
    <s v="PARSONS"/>
    <s v="Calauan"/>
    <n v="804"/>
    <s v="Inactivo"/>
    <n v="341.37900000000002"/>
    <n v="98"/>
    <x v="1"/>
  </r>
  <r>
    <n v="22"/>
    <s v="Jacky"/>
    <s v="Kipping"/>
    <n v="31302803"/>
    <s v="corriente"/>
    <n v="208272.21"/>
    <d v="2025-04-21T00:00:00"/>
    <d v="2016-08-18T00:00:00"/>
    <s v="ALBANY"/>
    <s v="Huangtan"/>
    <n v="69"/>
    <s v="Activo"/>
    <n v="387.32909999999998"/>
    <n v="538"/>
    <x v="0"/>
  </r>
  <r>
    <n v="23"/>
    <s v="Adi"/>
    <s v="Theakston"/>
    <n v="11001962"/>
    <s v="corriente"/>
    <n v="40017.410000000003"/>
    <d v="2021-11-17T00:00:00"/>
    <d v="2018-07-30T00:00:00"/>
    <s v="ROSEMEAD"/>
    <s v="Aksakovo"/>
    <n v="1320"/>
    <s v="Inactivo"/>
    <n v="287.85019999999997"/>
    <n v="139"/>
    <x v="1"/>
  </r>
  <r>
    <n v="24"/>
    <s v="Hobard"/>
    <s v="Bosdet"/>
    <n v="111304064"/>
    <s v="corriente"/>
    <n v="50735.41"/>
    <d v="2023-02-23T00:00:00"/>
    <d v="2018-03-28T00:00:00"/>
    <s v="KINGFISHER"/>
    <s v="Nantes"/>
    <n v="857"/>
    <s v="Inactivo"/>
    <n v="331.36840000000001"/>
    <n v="153"/>
    <x v="1"/>
  </r>
  <r>
    <n v="25"/>
    <s v="Netti"/>
    <s v="Chapleo"/>
    <n v="122187335"/>
    <s v="ahorros"/>
    <n v="55998.74"/>
    <d v="2025-05-15T00:00:00"/>
    <d v="2018-12-26T00:00:00"/>
    <s v="RALEIGH"/>
    <s v="Tohautu"/>
    <n v="45"/>
    <s v="Activo"/>
    <n v="388.93950000000001"/>
    <n v="144"/>
    <x v="0"/>
  </r>
  <r>
    <n v="26"/>
    <s v="Mandie"/>
    <s v="Carlyon"/>
    <n v="122244731"/>
    <s v="corriente"/>
    <n v="159988.47"/>
    <d v="2021-02-02T00:00:00"/>
    <d v="2016-11-07T00:00:00"/>
    <s v="MURRIETTA"/>
    <s v="Bojonggenteng"/>
    <n v="1608"/>
    <s v="Inactivo"/>
    <n v="275.46890000000002"/>
    <n v="581"/>
    <x v="0"/>
  </r>
  <r>
    <n v="27"/>
    <s v="Jerald"/>
    <s v="Byer"/>
    <n v="74910854"/>
    <s v="corriente"/>
    <n v="71557.08"/>
    <d v="2024-07-17T00:00:00"/>
    <d v="2017-01-26T00:00:00"/>
    <s v="LAGRANGE"/>
    <s v="Marićka"/>
    <n v="347"/>
    <s v="Activo"/>
    <n v="373.97050000000002"/>
    <n v="191"/>
    <x v="0"/>
  </r>
  <r>
    <n v="28"/>
    <s v="Anni"/>
    <s v="Bohman"/>
    <n v="64208194"/>
    <s v="corriente"/>
    <n v="192323.85"/>
    <d v="2021-06-22T00:00:00"/>
    <d v="2017-11-08T00:00:00"/>
    <s v="RICHMOND"/>
    <s v="Parakanpanjang"/>
    <n v="1468"/>
    <s v="Inactivo"/>
    <n v="282.5421"/>
    <n v="681"/>
    <x v="0"/>
  </r>
  <r>
    <n v="29"/>
    <s v="Crosby"/>
    <s v="Gibard"/>
    <n v="91916048"/>
    <s v="ahorros"/>
    <n v="113147.29"/>
    <d v="2024-07-16T00:00:00"/>
    <d v="2017-10-26T00:00:00"/>
    <s v="GLENCOE"/>
    <s v="Leceia"/>
    <n v="348"/>
    <s v="Activo"/>
    <n v="373.93189999999998"/>
    <n v="303"/>
    <x v="0"/>
  </r>
  <r>
    <n v="30"/>
    <s v="Charlena"/>
    <s v="Izakov"/>
    <n v="71920656"/>
    <s v="corriente"/>
    <n v="113035.52"/>
    <d v="2022-05-13T00:00:00"/>
    <d v="2016-08-20T00:00:00"/>
    <s v="NAPERVILLE"/>
    <s v="Peukanbada"/>
    <n v="1143"/>
    <s v="Inactivo"/>
    <n v="303.93459999999999"/>
    <n v="372"/>
    <x v="0"/>
  </r>
  <r>
    <n v="31"/>
    <s v="Abbe"/>
    <s v="Cattermole"/>
    <n v="67013700"/>
    <s v="ahorros"/>
    <n v="46115.55"/>
    <d v="2022-07-20T00:00:00"/>
    <d v="2017-02-21T00:00:00"/>
    <s v="CINCINNATI"/>
    <s v="Lengkongbarang"/>
    <n v="1075"/>
    <s v="Inactivo"/>
    <n v="310.77960000000002"/>
    <n v="148"/>
    <x v="1"/>
  </r>
  <r>
    <n v="32"/>
    <s v="Benita"/>
    <s v="Middas"/>
    <n v="84202769"/>
    <s v="corriente"/>
    <n v="24824.18"/>
    <d v="2021-01-06T00:00:00"/>
    <d v="2018-03-05T00:00:00"/>
    <s v="TUPELO"/>
    <s v="Indianapolis"/>
    <n v="1635"/>
    <s v="Inactivo"/>
    <n v="274.98270000000002"/>
    <n v="90"/>
    <x v="1"/>
  </r>
  <r>
    <n v="33"/>
    <s v="Minnie"/>
    <s v="Malbon"/>
    <n v="83904563"/>
    <s v="ahorros"/>
    <n v="35304.31"/>
    <d v="2020-08-13T00:00:00"/>
    <d v="2016-06-13T00:00:00"/>
    <s v="JASPER"/>
    <s v="Cabra Figa"/>
    <n v="1781"/>
    <s v="Inactivo"/>
    <n v="274.6574"/>
    <n v="129"/>
    <x v="1"/>
  </r>
  <r>
    <n v="34"/>
    <s v="Fabiano"/>
    <s v="MacFadzan"/>
    <n v="53112068"/>
    <s v="ahorros"/>
    <n v="150610.81"/>
    <d v="2021-11-19T00:00:00"/>
    <d v="2017-01-24T00:00:00"/>
    <s v="MIAMI"/>
    <s v="Petrodvorets"/>
    <n v="1318"/>
    <s v="Inactivo"/>
    <n v="287.85210000000001"/>
    <n v="523"/>
    <x v="0"/>
  </r>
  <r>
    <n v="35"/>
    <s v="Walt"/>
    <s v="Fratson"/>
    <n v="261170546"/>
    <s v="corriente"/>
    <n v="123991.57"/>
    <d v="2023-08-18T00:00:00"/>
    <d v="2018-01-07T00:00:00"/>
    <s v="PITTSBURGH"/>
    <s v="Changle"/>
    <n v="681"/>
    <s v="Inactivo"/>
    <n v="350.12180000000001"/>
    <n v="354"/>
    <x v="0"/>
  </r>
  <r>
    <n v="36"/>
    <s v="Fielding"/>
    <s v="Farish"/>
    <n v="11301947"/>
    <s v="corriente"/>
    <n v="129459.86"/>
    <d v="2022-06-07T00:00:00"/>
    <d v="2016-04-02T00:00:00"/>
    <s v="LEWISTON"/>
    <s v="Voyskovitsy"/>
    <n v="1118"/>
    <s v="Inactivo"/>
    <n v="306.95240000000001"/>
    <n v="422"/>
    <x v="0"/>
  </r>
  <r>
    <n v="37"/>
    <s v="Daphene"/>
    <s v="Fann"/>
    <n v="111307430"/>
    <s v="corriente"/>
    <n v="20525.93"/>
    <d v="2020-09-06T00:00:00"/>
    <d v="2017-09-08T00:00:00"/>
    <s v="BAIRD"/>
    <s v="Dzuunmod"/>
    <n v="1757"/>
    <s v="Inactivo"/>
    <n v="274.58999999999997"/>
    <n v="75"/>
    <x v="1"/>
  </r>
  <r>
    <n v="38"/>
    <s v="Adiana"/>
    <s v="Folling"/>
    <n v="53208176"/>
    <s v="ahorros"/>
    <n v="183593.49"/>
    <d v="2023-03-13T00:00:00"/>
    <d v="2016-08-13T00:00:00"/>
    <s v="THOMASVILLE"/>
    <s v="Eger"/>
    <n v="839"/>
    <s v="Inactivo"/>
    <n v="335.14830000000001"/>
    <n v="548"/>
    <x v="0"/>
  </r>
  <r>
    <n v="39"/>
    <s v="Bobbee"/>
    <s v="Dahmel"/>
    <n v="31317788"/>
    <s v="ahorros"/>
    <n v="57414.76"/>
    <d v="2023-01-26T00:00:00"/>
    <d v="2016-05-05T00:00:00"/>
    <s v="ORBISONIA"/>
    <s v="Chignayhua"/>
    <n v="885"/>
    <s v="Inactivo"/>
    <n v="327.04950000000002"/>
    <n v="176"/>
    <x v="1"/>
  </r>
  <r>
    <n v="40"/>
    <s v="Cortie"/>
    <s v="Burles"/>
    <n v="53112204"/>
    <s v="ahorros"/>
    <n v="204047.92"/>
    <d v="2024-08-28T00:00:00"/>
    <d v="2017-05-22T00:00:00"/>
    <s v="N. CHAS"/>
    <s v="Brooklyn"/>
    <n v="305"/>
    <s v="Activo"/>
    <n v="375.40429999999998"/>
    <n v="544"/>
    <x v="0"/>
  </r>
  <r>
    <n v="41"/>
    <s v="Shandra"/>
    <s v="Jekel"/>
    <n v="11303123"/>
    <s v="corriente"/>
    <n v="202287.08"/>
    <d v="2023-03-02T00:00:00"/>
    <d v="2016-07-17T00:00:00"/>
    <s v="LEWISTON"/>
    <s v="Sinarjaya"/>
    <n v="850"/>
    <s v="Inactivo"/>
    <n v="332.83330000000001"/>
    <n v="608"/>
    <x v="0"/>
  </r>
  <r>
    <n v="42"/>
    <s v="Cassie"/>
    <s v="Fideler"/>
    <n v="65002030"/>
    <s v="ahorros"/>
    <n v="133654.74"/>
    <d v="2020-03-16T00:00:00"/>
    <d v="2016-12-21T00:00:00"/>
    <s v="RICHMOND"/>
    <s v="Hubei"/>
    <n v="1931"/>
    <s v="Inactivo"/>
    <n v="272.74759999999998"/>
    <n v="490"/>
    <x v="0"/>
  </r>
  <r>
    <n v="43"/>
    <s v="Aileen"/>
    <s v="Widd"/>
    <n v="53185079"/>
    <s v="corriente"/>
    <n v="216457.93"/>
    <d v="2022-05-29T00:00:00"/>
    <d v="2018-07-30T00:00:00"/>
    <s v="DURHAM"/>
    <s v="Santos Evos"/>
    <n v="1127"/>
    <s v="Inactivo"/>
    <n v="305.84739999999999"/>
    <n v="708"/>
    <x v="0"/>
  </r>
  <r>
    <n v="44"/>
    <s v="Carline"/>
    <s v="Boxill"/>
    <n v="74905380"/>
    <s v="ahorros"/>
    <n v="194632.02"/>
    <d v="2022-11-08T00:00:00"/>
    <d v="2018-06-20T00:00:00"/>
    <s v="DALEVILLE"/>
    <s v="Norrköping"/>
    <n v="964"/>
    <s v="Inactivo"/>
    <n v="320.13189999999997"/>
    <n v="608"/>
    <x v="0"/>
  </r>
  <r>
    <n v="45"/>
    <s v="Blithe"/>
    <s v="Sterzaker"/>
    <n v="91406121"/>
    <s v="corriente"/>
    <n v="60986.23"/>
    <d v="2024-08-21T00:00:00"/>
    <d v="2017-11-22T00:00:00"/>
    <s v="BROOKINGS"/>
    <s v="Shouchang"/>
    <n v="312"/>
    <s v="Activo"/>
    <n v="375.23500000000001"/>
    <n v="163"/>
    <x v="0"/>
  </r>
  <r>
    <n v="46"/>
    <s v="Blancha"/>
    <s v="Minichillo"/>
    <n v="61212866"/>
    <s v="ahorros"/>
    <n v="52099.71"/>
    <d v="2024-02-06T00:00:00"/>
    <d v="2017-02-15T00:00:00"/>
    <s v="ALMA"/>
    <s v="Uppsala"/>
    <n v="509"/>
    <s v="Inactivo"/>
    <n v="359.78949999999998"/>
    <n v="145"/>
    <x v="1"/>
  </r>
  <r>
    <n v="47"/>
    <s v="Celinda"/>
    <s v="Bradlaugh"/>
    <n v="121143118"/>
    <s v="corriente"/>
    <n v="149672.65"/>
    <d v="2023-06-11T00:00:00"/>
    <d v="2018-10-12T00:00:00"/>
    <s v="PORTLAND"/>
    <s v="Bošovice"/>
    <n v="749"/>
    <s v="Inactivo"/>
    <n v="347.0641"/>
    <n v="431"/>
    <x v="0"/>
  </r>
  <r>
    <n v="48"/>
    <s v="Burnard"/>
    <s v="Addenbrooke"/>
    <n v="61104204"/>
    <s v="ahorros"/>
    <n v="58987.53"/>
    <d v="2020-01-17T00:00:00"/>
    <d v="2017-05-19T00:00:00"/>
    <s v="ZEBULON"/>
    <s v="Néa Flogitá"/>
    <n v="1990"/>
    <s v="Inactivo"/>
    <n v="270.88959999999997"/>
    <n v="218"/>
    <x v="1"/>
  </r>
  <r>
    <n v="49"/>
    <s v="Joaquin"/>
    <s v="Sadat"/>
    <n v="125107862"/>
    <s v="ahorros"/>
    <n v="93834.99"/>
    <d v="2023-01-27T00:00:00"/>
    <d v="2018-01-22T00:00:00"/>
    <s v="COEUR D'ALENE"/>
    <s v="Pyu"/>
    <n v="884"/>
    <s v="Inactivo"/>
    <n v="327.1816"/>
    <n v="287"/>
    <x v="1"/>
  </r>
  <r>
    <n v="50"/>
    <s v="Lilith"/>
    <s v="Lutwidge"/>
    <n v="64208398"/>
    <s v="ahorros"/>
    <n v="138138.78"/>
    <d v="2020-09-03T00:00:00"/>
    <d v="2018-03-02T00:00:00"/>
    <s v="MADISONVILLE"/>
    <s v="Ravne na Koroškem"/>
    <n v="1760"/>
    <s v="Inactivo"/>
    <n v="274.58999999999997"/>
    <n v="503"/>
    <x v="0"/>
  </r>
  <r>
    <n v="51"/>
    <s v="Marlena"/>
    <s v="Kellick"/>
    <n v="322078804"/>
    <s v="corriente"/>
    <n v="66527.97"/>
    <d v="2022-06-30T00:00:00"/>
    <d v="2017-11-14T00:00:00"/>
    <s v="DOWNEY"/>
    <s v="Dzüünharaa"/>
    <n v="1095"/>
    <s v="Inactivo"/>
    <n v="309.22859999999997"/>
    <n v="215"/>
    <x v="1"/>
  </r>
  <r>
    <n v="52"/>
    <s v="Anthiathia"/>
    <s v="Kasman"/>
    <n v="31309123"/>
    <s v="corriente"/>
    <n v="59399.93"/>
    <d v="2021-07-04T00:00:00"/>
    <d v="2017-11-27T00:00:00"/>
    <s v="WILSON"/>
    <s v="Kradinan"/>
    <n v="1456"/>
    <s v="Inactivo"/>
    <n v="283.66890000000001"/>
    <n v="209"/>
    <x v="1"/>
  </r>
  <r>
    <n v="53"/>
    <s v="Emmalynne"/>
    <s v="Bilverstone"/>
    <n v="21200559"/>
    <s v="ahorros"/>
    <n v="212595.11"/>
    <d v="2023-07-10T00:00:00"/>
    <d v="2018-01-27T00:00:00"/>
    <s v="MINNEAPOLIS"/>
    <s v="Dalaba"/>
    <n v="720"/>
    <s v="Inactivo"/>
    <n v="348.65660000000003"/>
    <n v="610"/>
    <x v="0"/>
  </r>
  <r>
    <n v="54"/>
    <s v="Sharleen"/>
    <s v="Helgass"/>
    <n v="104913912"/>
    <s v="corriente"/>
    <n v="35777.440000000002"/>
    <d v="2024-04-01T00:00:00"/>
    <d v="2017-11-22T00:00:00"/>
    <s v="GRETNA"/>
    <s v="Cucuyagua"/>
    <n v="454"/>
    <s v="Inactivo"/>
    <n v="365.74110000000002"/>
    <n v="98"/>
    <x v="1"/>
  </r>
  <r>
    <n v="55"/>
    <s v="Mimi"/>
    <s v="Blackie"/>
    <n v="271989756"/>
    <s v="corriente"/>
    <n v="40377.4"/>
    <d v="2022-12-19T00:00:00"/>
    <d v="2017-05-21T00:00:00"/>
    <s v="NORTH CHGO"/>
    <s v="Rubik"/>
    <n v="923"/>
    <s v="Inactivo"/>
    <n v="323.4316"/>
    <n v="125"/>
    <x v="1"/>
  </r>
  <r>
    <n v="56"/>
    <s v="Roxy"/>
    <s v="Manssuer"/>
    <n v="111104785"/>
    <s v="corriente"/>
    <n v="69977.75"/>
    <d v="2025-02-23T00:00:00"/>
    <d v="2017-06-03T00:00:00"/>
    <s v="RICHMOND"/>
    <s v="Qulai"/>
    <n v="126"/>
    <s v="Activo"/>
    <n v="380.0181"/>
    <n v="184"/>
    <x v="0"/>
  </r>
  <r>
    <n v="57"/>
    <s v="Maible"/>
    <s v="Hammonds"/>
    <n v="42000398"/>
    <s v="ahorros"/>
    <n v="101459.88"/>
    <d v="2021-05-18T00:00:00"/>
    <d v="2017-10-01T00:00:00"/>
    <s v="PITTSBURGH"/>
    <s v="Soure"/>
    <n v="1503"/>
    <s v="Inactivo"/>
    <n v="280.3931"/>
    <n v="362"/>
    <x v="0"/>
  </r>
  <r>
    <n v="58"/>
    <s v="Fina"/>
    <s v="Corke"/>
    <n v="63104697"/>
    <s v="ahorros"/>
    <n v="115288.62"/>
    <d v="2020-04-22T00:00:00"/>
    <d v="2018-10-24T00:00:00"/>
    <s v="RICHMOND"/>
    <s v="Santa Teresita"/>
    <n v="1894"/>
    <s v="Inactivo"/>
    <n v="274.8802"/>
    <n v="419"/>
    <x v="0"/>
  </r>
  <r>
    <n v="59"/>
    <s v="Sherlocke"/>
    <s v="Hallen"/>
    <n v="21206676"/>
    <s v="ahorros"/>
    <n v="73304.89"/>
    <d v="2023-11-05T00:00:00"/>
    <d v="2017-03-16T00:00:00"/>
    <s v="READING"/>
    <s v="Skelivka"/>
    <n v="602"/>
    <s v="Inactivo"/>
    <n v="355.45890000000003"/>
    <n v="206"/>
    <x v="1"/>
  </r>
  <r>
    <n v="60"/>
    <s v="Weidar"/>
    <s v="Goodburn"/>
    <n v="102301911"/>
    <s v="ahorros"/>
    <n v="162263.01"/>
    <d v="2021-12-30T00:00:00"/>
    <d v="2016-02-22T00:00:00"/>
    <s v="BASIN"/>
    <s v="Upi"/>
    <n v="1277"/>
    <s v="Inactivo"/>
    <n v="288.5727"/>
    <n v="562"/>
    <x v="0"/>
  </r>
  <r>
    <n v="61"/>
    <s v="Sib"/>
    <s v="Barstow"/>
    <n v="72412435"/>
    <s v="ahorros"/>
    <n v="114454.41"/>
    <d v="2022-07-23T00:00:00"/>
    <d v="2017-11-11T00:00:00"/>
    <s v="EAST LANSING"/>
    <s v="Minas de Marcona"/>
    <n v="1072"/>
    <s v="Inactivo"/>
    <n v="310.93259999999998"/>
    <n v="368"/>
    <x v="0"/>
  </r>
  <r>
    <n v="62"/>
    <s v="Tito"/>
    <s v="di Rocca"/>
    <n v="61108161"/>
    <s v="ahorros"/>
    <n v="131374.95000000001"/>
    <d v="2022-05-02T00:00:00"/>
    <d v="2018-06-13T00:00:00"/>
    <s v="LINCOLNTON"/>
    <s v="Mingguang"/>
    <n v="1154"/>
    <s v="Inactivo"/>
    <n v="302.82769999999999"/>
    <n v="434"/>
    <x v="0"/>
  </r>
  <r>
    <n v="63"/>
    <s v="Herve"/>
    <s v="Pickaver"/>
    <n v="242272489"/>
    <s v="ahorros"/>
    <n v="84749.51"/>
    <d v="2023-03-23T00:00:00"/>
    <d v="2016-12-03T00:00:00"/>
    <s v="NEWARK"/>
    <s v="Bayt Līd"/>
    <n v="829"/>
    <s v="Inactivo"/>
    <n v="336.99970000000002"/>
    <n v="251"/>
    <x v="1"/>
  </r>
  <r>
    <n v="64"/>
    <s v="Gene"/>
    <s v="Nussey"/>
    <n v="53200019"/>
    <s v="corriente"/>
    <n v="137950.23000000001"/>
    <d v="2022-05-17T00:00:00"/>
    <d v="2018-04-26T00:00:00"/>
    <s v="MINNEAPOLIS"/>
    <s v="Villa Nueva"/>
    <n v="1139"/>
    <s v="Inactivo"/>
    <n v="304.38010000000003"/>
    <n v="453"/>
    <x v="0"/>
  </r>
  <r>
    <n v="65"/>
    <s v="Dasha"/>
    <s v="Linne"/>
    <n v="124100080"/>
    <s v="corriente"/>
    <n v="65177.32"/>
    <d v="2024-04-30T00:00:00"/>
    <d v="2016-06-14T00:00:00"/>
    <s v="MINNEAPOLIS"/>
    <s v="Vinica"/>
    <n v="425"/>
    <s v="Inactivo"/>
    <n v="368.8202"/>
    <n v="177"/>
    <x v="1"/>
  </r>
  <r>
    <n v="66"/>
    <s v="Charmain"/>
    <s v="Scholling"/>
    <n v="122244582"/>
    <s v="ahorros"/>
    <n v="82681.009999999995"/>
    <d v="2023-11-14T00:00:00"/>
    <d v="2017-07-07T00:00:00"/>
    <s v="SPOKANE"/>
    <s v="Valbo"/>
    <n v="593"/>
    <s v="Inactivo"/>
    <n v="356.01510000000002"/>
    <n v="232"/>
    <x v="1"/>
  </r>
  <r>
    <n v="67"/>
    <s v="Shepperd"/>
    <s v="Leborgne"/>
    <n v="31310413"/>
    <s v="corriente"/>
    <n v="187629.61"/>
    <d v="2023-01-27T00:00:00"/>
    <d v="2018-11-21T00:00:00"/>
    <s v="WILSON"/>
    <s v="Saniwonorejo"/>
    <n v="884"/>
    <s v="Inactivo"/>
    <n v="327.1816"/>
    <n v="573"/>
    <x v="0"/>
  </r>
  <r>
    <n v="68"/>
    <s v="Rose"/>
    <s v="Andor"/>
    <n v="72401789"/>
    <s v="corriente"/>
    <n v="68506.55"/>
    <d v="2020-09-11T00:00:00"/>
    <d v="2018-09-10T00:00:00"/>
    <s v="MIDLAND"/>
    <s v="Zhongpai"/>
    <n v="1752"/>
    <s v="Inactivo"/>
    <n v="274.58999999999997"/>
    <n v="249"/>
    <x v="1"/>
  </r>
  <r>
    <n v="69"/>
    <s v="Katusha"/>
    <s v="Nana"/>
    <n v="65301540"/>
    <s v="corriente"/>
    <n v="206523.74"/>
    <d v="2022-06-21T00:00:00"/>
    <d v="2017-06-08T00:00:00"/>
    <s v="BRANDON"/>
    <s v="Lelekovice"/>
    <n v="1104"/>
    <s v="Inactivo"/>
    <n v="308.45359999999999"/>
    <n v="670"/>
    <x v="0"/>
  </r>
  <r>
    <n v="70"/>
    <s v="Willette"/>
    <s v="Corwood"/>
    <n v="75901710"/>
    <s v="corriente"/>
    <n v="108879.91"/>
    <d v="2020-11-10T00:00:00"/>
    <d v="2016-05-25T00:00:00"/>
    <s v="NAPERVILLE"/>
    <s v="Dammarie-les-Lys"/>
    <n v="1692"/>
    <s v="Inactivo"/>
    <n v="275.29919999999998"/>
    <n v="395"/>
    <x v="0"/>
  </r>
  <r>
    <n v="71"/>
    <s v="Cora"/>
    <s v="Jonathon"/>
    <n v="107000440"/>
    <s v="ahorros"/>
    <n v="95494.39"/>
    <d v="2022-12-12T00:00:00"/>
    <d v="2017-09-09T00:00:00"/>
    <s v="SANTA FE"/>
    <s v="Ralevka"/>
    <n v="930"/>
    <s v="Inactivo"/>
    <n v="322.87979999999999"/>
    <n v="296"/>
    <x v="1"/>
  </r>
  <r>
    <n v="72"/>
    <s v="Raye"/>
    <s v="Sergean"/>
    <n v="107004459"/>
    <s v="corriente"/>
    <n v="165196.49"/>
    <d v="2024-05-03T00:00:00"/>
    <d v="2016-05-22T00:00:00"/>
    <s v="LAKEWOOD"/>
    <s v="Mafra"/>
    <n v="422"/>
    <s v="Inactivo"/>
    <n v="369.07760000000002"/>
    <n v="448"/>
    <x v="0"/>
  </r>
  <r>
    <n v="73"/>
    <s v="Timmie"/>
    <s v="McGuigan"/>
    <n v="62101581"/>
    <s v="ahorros"/>
    <n v="61242.94"/>
    <d v="2023-04-06T00:00:00"/>
    <d v="2016-06-03T00:00:00"/>
    <s v="LINDEN"/>
    <s v="Sindangjati"/>
    <n v="815"/>
    <s v="Inactivo"/>
    <n v="339.5147"/>
    <n v="180"/>
    <x v="1"/>
  </r>
  <r>
    <n v="74"/>
    <s v="Hayward"/>
    <s v="Maskrey"/>
    <n v="91910879"/>
    <s v="corriente"/>
    <n v="114657.4"/>
    <d v="2023-02-18T00:00:00"/>
    <d v="2016-08-29T00:00:00"/>
    <s v="SAINT PETER"/>
    <s v="Padas"/>
    <n v="862"/>
    <s v="Inactivo"/>
    <n v="330.32600000000002"/>
    <n v="347"/>
    <x v="0"/>
  </r>
  <r>
    <n v="75"/>
    <s v="Elwira"/>
    <s v="Goldup"/>
    <n v="81220524"/>
    <s v="ahorros"/>
    <n v="188578.5"/>
    <d v="2020-11-21T00:00:00"/>
    <d v="2017-06-28T00:00:00"/>
    <s v="CAMPBELL HILL"/>
    <s v="La Luz"/>
    <n v="1681"/>
    <s v="Inactivo"/>
    <n v="275.40800000000002"/>
    <n v="685"/>
    <x v="0"/>
  </r>
  <r>
    <n v="76"/>
    <s v="Ailee"/>
    <s v="Boffin"/>
    <n v="123205054"/>
    <s v="corriente"/>
    <n v="148585.46"/>
    <d v="2020-01-09T00:00:00"/>
    <d v="2017-07-09T00:00:00"/>
    <s v="PORTLAND"/>
    <s v="Cheremshan"/>
    <n v="1998"/>
    <s v="Inactivo"/>
    <n v="270.79180000000002"/>
    <n v="549"/>
    <x v="0"/>
  </r>
  <r>
    <n v="77"/>
    <s v="Stevana"/>
    <s v="Reams"/>
    <n v="101102182"/>
    <s v="corriente"/>
    <n v="72350.399999999994"/>
    <d v="2020-05-30T00:00:00"/>
    <d v="2017-03-27T00:00:00"/>
    <s v="GIRARD"/>
    <s v="Chełmiec"/>
    <n v="1856"/>
    <s v="Inactivo"/>
    <n v="276.29430000000002"/>
    <n v="262"/>
    <x v="1"/>
  </r>
  <r>
    <n v="78"/>
    <s v="Briano"/>
    <s v="MacUchadair"/>
    <n v="122206216"/>
    <s v="ahorros"/>
    <n v="98234.62"/>
    <d v="2020-09-27T00:00:00"/>
    <d v="2016-11-09T00:00:00"/>
    <s v="RICHMOND"/>
    <s v="Beaufort"/>
    <n v="1736"/>
    <s v="Inactivo"/>
    <n v="274.57900000000001"/>
    <n v="358"/>
    <x v="0"/>
  </r>
  <r>
    <n v="79"/>
    <s v="Lebbie"/>
    <s v="Boxhill"/>
    <n v="31309385"/>
    <s v="ahorros"/>
    <n v="98506.99"/>
    <d v="2021-09-29T00:00:00"/>
    <d v="2016-06-29T00:00:00"/>
    <s v="HERMITAGE"/>
    <s v="Esquipulas"/>
    <n v="1369"/>
    <s v="Inactivo"/>
    <n v="286.07279999999997"/>
    <n v="344"/>
    <x v="0"/>
  </r>
  <r>
    <n v="80"/>
    <s v="Griswold"/>
    <s v="Spaduzza"/>
    <n v="281371972"/>
    <s v="ahorros"/>
    <n v="68385.56"/>
    <d v="2020-11-02T00:00:00"/>
    <d v="2018-02-18T00:00:00"/>
    <s v="JASPER"/>
    <s v="Jinxiang"/>
    <n v="1700"/>
    <s v="Inactivo"/>
    <n v="275.07229999999998"/>
    <n v="249"/>
    <x v="1"/>
  </r>
  <r>
    <n v="81"/>
    <s v="Ephrayim"/>
    <s v="Leggitt"/>
    <n v="54001725"/>
    <s v="ahorros"/>
    <n v="190088.04"/>
    <d v="2024-07-14T00:00:00"/>
    <d v="2018-11-07T00:00:00"/>
    <s v="LEWISTON"/>
    <s v="Lovrenc na Pohorju"/>
    <n v="350"/>
    <s v="Activo"/>
    <n v="373.8399"/>
    <n v="508"/>
    <x v="0"/>
  </r>
  <r>
    <n v="82"/>
    <s v="Boote"/>
    <s v="McVey"/>
    <n v="72413560"/>
    <s v="ahorros"/>
    <n v="77932.98"/>
    <d v="2020-05-19T00:00:00"/>
    <d v="2016-05-07T00:00:00"/>
    <s v="BELDING"/>
    <s v="Foros do Trapo"/>
    <n v="1867"/>
    <s v="Inactivo"/>
    <n v="276.13760000000002"/>
    <n v="282"/>
    <x v="1"/>
  </r>
  <r>
    <n v="83"/>
    <s v="Maddy"/>
    <s v="O'Lochan"/>
    <n v="67015258"/>
    <s v="ahorros"/>
    <n v="184856.42"/>
    <d v="2023-07-22T00:00:00"/>
    <d v="2018-11-25T00:00:00"/>
    <s v="FT.LAUDERDALE"/>
    <s v="Gap"/>
    <n v="708"/>
    <s v="Inactivo"/>
    <n v="349.1422"/>
    <n v="529"/>
    <x v="0"/>
  </r>
  <r>
    <n v="84"/>
    <s v="Garvin"/>
    <s v="Bibbie"/>
    <n v="101115098"/>
    <s v="corriente"/>
    <n v="120630.51"/>
    <d v="2021-02-07T00:00:00"/>
    <d v="2016-08-18T00:00:00"/>
    <s v="PARSONS"/>
    <s v="Guadalupe"/>
    <n v="1603"/>
    <s v="Inactivo"/>
    <n v="275.63749999999999"/>
    <n v="438"/>
    <x v="0"/>
  </r>
  <r>
    <n v="85"/>
    <s v="Britni"/>
    <s v="Hatt"/>
    <n v="91215927"/>
    <s v="corriente"/>
    <n v="109666.92"/>
    <d v="2024-12-09T00:00:00"/>
    <d v="2017-03-07T00:00:00"/>
    <s v="ST. PAUL"/>
    <s v="Made"/>
    <n v="202"/>
    <s v="Activo"/>
    <n v="376.35019999999997"/>
    <n v="291"/>
    <x v="0"/>
  </r>
  <r>
    <n v="86"/>
    <s v="Cobby"/>
    <s v="Hoyt"/>
    <n v="101903679"/>
    <s v="corriente"/>
    <n v="95098.75"/>
    <d v="2021-11-20T00:00:00"/>
    <d v="2017-07-07T00:00:00"/>
    <s v="WARRENSBURG"/>
    <s v="Bandar-e Māhshahr"/>
    <n v="1317"/>
    <s v="Inactivo"/>
    <n v="287.85309999999998"/>
    <n v="330"/>
    <x v="0"/>
  </r>
  <r>
    <n v="87"/>
    <s v="Margalit"/>
    <s v="Lahy"/>
    <n v="125107532"/>
    <s v="corriente"/>
    <n v="183975.36"/>
    <d v="2024-05-14T00:00:00"/>
    <d v="2017-05-30T00:00:00"/>
    <s v="LAKEWOOD"/>
    <s v="Bieliny"/>
    <n v="411"/>
    <s v="Inactivo"/>
    <n v="370.02280000000002"/>
    <n v="497"/>
    <x v="0"/>
  </r>
  <r>
    <n v="88"/>
    <s v="Wells"/>
    <s v="Malec"/>
    <n v="81206373"/>
    <s v="ahorros"/>
    <n v="209641.53"/>
    <d v="2023-11-19T00:00:00"/>
    <d v="2016-06-30T00:00:00"/>
    <s v="PITTSFIELD"/>
    <s v="Junqueiro"/>
    <n v="588"/>
    <s v="Inactivo"/>
    <n v="356.19560000000001"/>
    <n v="589"/>
    <x v="0"/>
  </r>
  <r>
    <n v="89"/>
    <s v="Nobe"/>
    <s v="Kelsell"/>
    <n v="102002757"/>
    <s v="ahorros"/>
    <n v="37514"/>
    <d v="2025-02-14T00:00:00"/>
    <d v="2018-06-13T00:00:00"/>
    <s v="ALBANY"/>
    <s v="Rakhiv"/>
    <n v="135"/>
    <s v="Activo"/>
    <n v="378.94749999999999"/>
    <n v="99"/>
    <x v="0"/>
  </r>
  <r>
    <n v="90"/>
    <s v="Faun"/>
    <s v="Dorre"/>
    <n v="53111836"/>
    <s v="corriente"/>
    <n v="33826.04"/>
    <d v="2023-06-23T00:00:00"/>
    <d v="2017-09-26T00:00:00"/>
    <s v="BLUEFIELD"/>
    <s v="Saint-Augustin"/>
    <n v="737"/>
    <s v="Inactivo"/>
    <n v="347.80990000000003"/>
    <n v="97"/>
    <x v="1"/>
  </r>
  <r>
    <n v="91"/>
    <s v="Carter"/>
    <s v="Tankard"/>
    <n v="107003023"/>
    <s v="corriente"/>
    <n v="22973.49"/>
    <d v="2022-11-12T00:00:00"/>
    <d v="2017-01-19T00:00:00"/>
    <s v="LAKEWOOD"/>
    <s v="Longxi"/>
    <n v="960"/>
    <s v="Inactivo"/>
    <n v="320.5145"/>
    <n v="72"/>
    <x v="1"/>
  </r>
  <r>
    <n v="92"/>
    <s v="Ruthi"/>
    <s v="Burnard"/>
    <n v="272471674"/>
    <s v="ahorros"/>
    <n v="167303.76999999999"/>
    <d v="2021-02-28T00:00:00"/>
    <d v="2016-12-22T00:00:00"/>
    <s v="RICHMOND"/>
    <s v="Aylmer"/>
    <n v="1582"/>
    <s v="Inactivo"/>
    <n v="276.43200000000002"/>
    <n v="605"/>
    <x v="0"/>
  </r>
  <r>
    <n v="93"/>
    <s v="Lindy"/>
    <s v="Goulden"/>
    <n v="111909867"/>
    <s v="corriente"/>
    <n v="22499.39"/>
    <d v="2023-01-01T00:00:00"/>
    <d v="2018-12-13T00:00:00"/>
    <s v="ENGLEWOOD CLIFFS"/>
    <s v="Vestmanna"/>
    <n v="910"/>
    <s v="Inactivo"/>
    <n v="324.47359999999998"/>
    <n v="69"/>
    <x v="1"/>
  </r>
  <r>
    <n v="94"/>
    <s v="Paulie"/>
    <s v="MacDougall"/>
    <n v="73901929"/>
    <s v="corriente"/>
    <n v="138120.67000000001"/>
    <d v="2023-08-15T00:00:00"/>
    <d v="2018-01-15T00:00:00"/>
    <s v="ALBIA"/>
    <s v="Smyków"/>
    <n v="684"/>
    <s v="Inactivo"/>
    <n v="349.95280000000002"/>
    <n v="395"/>
    <x v="0"/>
  </r>
  <r>
    <n v="95"/>
    <s v="Jemie"/>
    <s v="Petrello"/>
    <n v="267090536"/>
    <s v="ahorros"/>
    <n v="92657.43"/>
    <d v="2024-07-02T00:00:00"/>
    <d v="2017-10-13T00:00:00"/>
    <s v="RICHMOND"/>
    <s v="Nossa Senhora de Machede"/>
    <n v="362"/>
    <s v="Inactivo"/>
    <n v="373.19880000000001"/>
    <n v="248"/>
    <x v="0"/>
  </r>
  <r>
    <n v="96"/>
    <s v="Lea"/>
    <s v="Semerad"/>
    <n v="64103228"/>
    <s v="corriente"/>
    <n v="162968.54"/>
    <d v="2023-01-17T00:00:00"/>
    <d v="2016-10-28T00:00:00"/>
    <s v="PULASKI"/>
    <s v="Detroit"/>
    <n v="894"/>
    <s v="Inactivo"/>
    <n v="325.86270000000002"/>
    <n v="500"/>
    <x v="0"/>
  </r>
  <r>
    <n v="97"/>
    <s v="Corrine"/>
    <s v="Sukbhans"/>
    <n v="92900985"/>
    <s v="corriente"/>
    <n v="60172.68"/>
    <d v="2022-04-09T00:00:00"/>
    <d v="2018-01-22T00:00:00"/>
    <s v="BIG TIMBER"/>
    <s v="Quintão"/>
    <n v="1177"/>
    <s v="Inactivo"/>
    <n v="300.1841"/>
    <n v="200"/>
    <x v="1"/>
  </r>
  <r>
    <n v="98"/>
    <s v="Carma"/>
    <s v="Lambal"/>
    <n v="81225804"/>
    <s v="corriente"/>
    <n v="27288.23"/>
    <d v="2022-04-17T00:00:00"/>
    <d v="2016-09-01T00:00:00"/>
    <s v="ALBION"/>
    <s v="Washington"/>
    <n v="1169"/>
    <s v="Inactivo"/>
    <n v="301.32479999999998"/>
    <n v="91"/>
    <x v="1"/>
  </r>
  <r>
    <n v="99"/>
    <s v="Nevins"/>
    <s v="Scarasbrick"/>
    <n v="244172095"/>
    <s v="corriente"/>
    <n v="161024.73000000001"/>
    <d v="2021-04-08T00:00:00"/>
    <d v="2017-06-22T00:00:00"/>
    <s v="NEWARK"/>
    <s v="Cerna"/>
    <n v="1543"/>
    <s v="Inactivo"/>
    <n v="278.41030000000001"/>
    <n v="578"/>
    <x v="0"/>
  </r>
  <r>
    <n v="100"/>
    <s v="Greer"/>
    <s v="Guite"/>
    <n v="21309379"/>
    <s v="ahorros"/>
    <n v="137000.48000000001"/>
    <d v="2023-10-05T00:00:00"/>
    <d v="2016-10-12T00:00:00"/>
    <s v="TAMPA"/>
    <s v="Zhusha"/>
    <n v="633"/>
    <s v="Inactivo"/>
    <n v="353.34199999999998"/>
    <n v="388"/>
    <x v="0"/>
  </r>
  <r>
    <n v="101"/>
    <s v="Daryl"/>
    <s v="Sturdy"/>
    <n v="75900148"/>
    <s v="ahorros"/>
    <n v="113805.64"/>
    <d v="2023-12-26T00:00:00"/>
    <d v="2018-11-27T00:00:00"/>
    <s v="NAPERVILLE"/>
    <s v="Touzao"/>
    <n v="551"/>
    <s v="Inactivo"/>
    <n v="357.5616"/>
    <n v="318"/>
    <x v="1"/>
  </r>
  <r>
    <n v="102"/>
    <s v="Dino"/>
    <s v="Klossmann"/>
    <n v="82901635"/>
    <s v="corriente"/>
    <n v="180091.75"/>
    <d v="2022-07-27T00:00:00"/>
    <d v="2016-06-14T00:00:00"/>
    <s v="MAGNOLIA"/>
    <s v="Wałcz"/>
    <n v="1068"/>
    <s v="Inactivo"/>
    <n v="311.13679999999999"/>
    <n v="579"/>
    <x v="0"/>
  </r>
  <r>
    <n v="103"/>
    <s v="Flinn"/>
    <s v="Cawkwell"/>
    <n v="31902876"/>
    <s v="corriente"/>
    <n v="17964.41"/>
    <d v="2020-09-06T00:00:00"/>
    <d v="2016-05-09T00:00:00"/>
    <s v="WILSON"/>
    <s v="Maqian"/>
    <n v="1757"/>
    <s v="Inactivo"/>
    <n v="274.58999999999997"/>
    <n v="65"/>
    <x v="1"/>
  </r>
  <r>
    <n v="104"/>
    <s v="Gilemette"/>
    <s v="Sollner"/>
    <n v="111904998"/>
    <s v="ahorros"/>
    <n v="87468.39"/>
    <d v="2023-02-15T00:00:00"/>
    <d v="2018-03-29T00:00:00"/>
    <s v="SULPHUR SPRINGS"/>
    <s v="Limmared"/>
    <n v="865"/>
    <s v="Inactivo"/>
    <n v="329.7022"/>
    <n v="265"/>
    <x v="1"/>
  </r>
  <r>
    <n v="105"/>
    <s v="Elenore"/>
    <s v="Kyndred"/>
    <n v="63112906"/>
    <s v="ahorros"/>
    <n v="198269.22"/>
    <d v="2022-06-16T00:00:00"/>
    <d v="2016-01-02T00:00:00"/>
    <s v="MOULTRIE"/>
    <s v="Timba Lauk"/>
    <n v="1109"/>
    <s v="Inactivo"/>
    <n v="308.02390000000003"/>
    <n v="644"/>
    <x v="0"/>
  </r>
  <r>
    <n v="106"/>
    <s v="Kylila"/>
    <s v="Worley"/>
    <n v="21000021"/>
    <s v="corriente"/>
    <n v="21270.97"/>
    <d v="2023-02-27T00:00:00"/>
    <d v="2017-01-21T00:00:00"/>
    <s v="TAMPA"/>
    <s v="Huangbayi"/>
    <n v="853"/>
    <s v="Inactivo"/>
    <n v="332.2047"/>
    <n v="64"/>
    <x v="1"/>
  </r>
  <r>
    <n v="107"/>
    <s v="Jillian"/>
    <s v="Orange"/>
    <n v="21907315"/>
    <s v="ahorros"/>
    <n v="87386.62"/>
    <d v="2021-12-15T00:00:00"/>
    <d v="2017-09-17T00:00:00"/>
    <s v="MONTEBELLO"/>
    <s v="Zelenogradsk"/>
    <n v="1292"/>
    <s v="Inactivo"/>
    <n v="287.87709999999998"/>
    <n v="304"/>
    <x v="1"/>
  </r>
  <r>
    <n v="108"/>
    <s v="Darby"/>
    <s v="De Pietri"/>
    <n v="92902271"/>
    <s v="ahorros"/>
    <n v="76723.42"/>
    <d v="2022-05-02T00:00:00"/>
    <d v="2018-12-12T00:00:00"/>
    <s v="SHELBY"/>
    <s v="Wujia"/>
    <n v="1154"/>
    <s v="Inactivo"/>
    <n v="302.82769999999999"/>
    <n v="253"/>
    <x v="1"/>
  </r>
  <r>
    <n v="109"/>
    <s v="Ines"/>
    <s v="Nutton"/>
    <n v="211170101"/>
    <s v="ahorros"/>
    <n v="102341.75"/>
    <d v="2023-10-12T00:00:00"/>
    <d v="2017-08-06T00:00:00"/>
    <s v="NEW BRITAIN"/>
    <s v="Vatutino"/>
    <n v="626"/>
    <s v="Inactivo"/>
    <n v="353.91759999999999"/>
    <n v="289"/>
    <x v="1"/>
  </r>
  <r>
    <n v="110"/>
    <s v="Sigismondo"/>
    <s v="Edwicke"/>
    <n v="122038442"/>
    <s v="ahorros"/>
    <n v="58070.45"/>
    <d v="2024-09-04T00:00:00"/>
    <d v="2016-01-05T00:00:00"/>
    <s v="ST PAUL"/>
    <s v="Berlin"/>
    <n v="298"/>
    <s v="Activo"/>
    <n v="375.57369999999997"/>
    <n v="155"/>
    <x v="0"/>
  </r>
  <r>
    <n v="111"/>
    <s v="Perri"/>
    <s v="Chapelhow"/>
    <n v="111313000"/>
    <s v="ahorros"/>
    <n v="76435.199999999997"/>
    <d v="2023-12-28T00:00:00"/>
    <d v="2016-10-14T00:00:00"/>
    <s v="SAN ANGELO"/>
    <s v="Trzcianka"/>
    <n v="549"/>
    <s v="Inactivo"/>
    <n v="357.66980000000001"/>
    <n v="214"/>
    <x v="1"/>
  </r>
  <r>
    <n v="112"/>
    <s v="Free"/>
    <s v="Dillinger"/>
    <n v="75900986"/>
    <s v="ahorros"/>
    <n v="120768.08"/>
    <d v="2025-04-06T00:00:00"/>
    <d v="2017-02-14T00:00:00"/>
    <s v="NAPERVILLEL"/>
    <s v="Kuilehe"/>
    <n v="84"/>
    <s v="Activo"/>
    <n v="385.65620000000001"/>
    <n v="313"/>
    <x v="0"/>
  </r>
  <r>
    <n v="113"/>
    <s v="Teodorico"/>
    <s v="Verzey"/>
    <n v="62205665"/>
    <s v="corriente"/>
    <n v="188917.19"/>
    <d v="2023-11-07T00:00:00"/>
    <d v="2018-01-08T00:00:00"/>
    <s v="PITTSBURGH"/>
    <s v="Coasa"/>
    <n v="600"/>
    <s v="Inactivo"/>
    <n v="355.58249999999998"/>
    <n v="531"/>
    <x v="0"/>
  </r>
  <r>
    <n v="114"/>
    <s v="Ransell"/>
    <s v="Iacavone"/>
    <n v="44111188"/>
    <s v="ahorros"/>
    <n v="120600.63"/>
    <d v="2022-01-09T00:00:00"/>
    <d v="2017-12-21T00:00:00"/>
    <s v="WHEELING"/>
    <s v="Wewoloe"/>
    <n v="1267"/>
    <s v="Inactivo"/>
    <n v="289.03730000000002"/>
    <n v="417"/>
    <x v="0"/>
  </r>
  <r>
    <n v="115"/>
    <s v="Krissy"/>
    <s v="Burnett"/>
    <n v="82901897"/>
    <s v="ahorros"/>
    <n v="121165.63"/>
    <d v="2020-02-20T00:00:00"/>
    <d v="2018-12-19T00:00:00"/>
    <s v="SEARCY"/>
    <s v="Sukorejo"/>
    <n v="1956"/>
    <s v="Inactivo"/>
    <n v="271.74470000000002"/>
    <n v="446"/>
    <x v="0"/>
  </r>
  <r>
    <n v="116"/>
    <s v="Orly"/>
    <s v="Flello"/>
    <n v="211370590"/>
    <s v="corriente"/>
    <n v="201029.57"/>
    <d v="2025-01-21T00:00:00"/>
    <d v="2016-12-29T00:00:00"/>
    <s v="NEW BRITAIN"/>
    <s v="Neqāb"/>
    <n v="159"/>
    <s v="Activo"/>
    <n v="377.6035"/>
    <n v="532"/>
    <x v="0"/>
  </r>
  <r>
    <n v="117"/>
    <s v="Allina"/>
    <s v="Wraighte"/>
    <n v="63106734"/>
    <s v="corriente"/>
    <n v="91134.07"/>
    <d v="2024-12-20T00:00:00"/>
    <d v="2016-09-07T00:00:00"/>
    <s v="MOULTRIE"/>
    <s v="Mae Hi"/>
    <n v="191"/>
    <s v="Activo"/>
    <n v="376.416"/>
    <n v="242"/>
    <x v="0"/>
  </r>
  <r>
    <n v="118"/>
    <s v="Giorgia"/>
    <s v="Wynter"/>
    <n v="63114289"/>
    <s v="ahorros"/>
    <n v="25461.279999999999"/>
    <d v="2022-01-30T00:00:00"/>
    <d v="2017-02-28T00:00:00"/>
    <s v="WAYNE"/>
    <s v="Dalang"/>
    <n v="1246"/>
    <s v="Inactivo"/>
    <n v="290.3365"/>
    <n v="88"/>
    <x v="1"/>
  </r>
  <r>
    <n v="119"/>
    <s v="Carolee"/>
    <s v="Hodgin"/>
    <n v="71112105"/>
    <s v="ahorros"/>
    <n v="93005.93"/>
    <d v="2021-11-11T00:00:00"/>
    <d v="2018-07-09T00:00:00"/>
    <s v="CATLIN"/>
    <s v="Rukem"/>
    <n v="1326"/>
    <s v="Inactivo"/>
    <n v="287.70740000000001"/>
    <n v="323"/>
    <x v="0"/>
  </r>
  <r>
    <n v="120"/>
    <s v="Thacher"/>
    <s v="Onge"/>
    <n v="64103079"/>
    <s v="ahorros"/>
    <n v="166284.32999999999"/>
    <d v="2022-06-14T00:00:00"/>
    <d v="2016-02-09T00:00:00"/>
    <s v="BIRMINGHAM"/>
    <s v="Assis"/>
    <n v="1111"/>
    <s v="Inactivo"/>
    <n v="307.81459999999998"/>
    <n v="540"/>
    <x v="0"/>
  </r>
  <r>
    <n v="121"/>
    <s v="Emyle"/>
    <s v="Meugens"/>
    <n v="113193723"/>
    <s v="corriente"/>
    <n v="118857.9"/>
    <d v="2024-03-24T00:00:00"/>
    <d v="2017-04-21T00:00:00"/>
    <s v="TAMPA"/>
    <s v="Souziqiu"/>
    <n v="462"/>
    <s v="Inactivo"/>
    <n v="364.71929999999998"/>
    <n v="326"/>
    <x v="0"/>
  </r>
  <r>
    <n v="122"/>
    <s v="Marvin"/>
    <s v="Francillo"/>
    <n v="53112673"/>
    <s v="corriente"/>
    <n v="80729.320000000007"/>
    <d v="2023-01-11T00:00:00"/>
    <d v="2017-06-14T00:00:00"/>
    <s v="OXFORD"/>
    <s v="Acas"/>
    <n v="900"/>
    <s v="Inactivo"/>
    <n v="325.27749999999997"/>
    <n v="248"/>
    <x v="1"/>
  </r>
  <r>
    <n v="123"/>
    <s v="Christine"/>
    <s v="Hodgen"/>
    <n v="322271096"/>
    <s v="corriente"/>
    <n v="37500.33"/>
    <d v="2021-11-05T00:00:00"/>
    <d v="2017-04-15T00:00:00"/>
    <s v="ENGLEWOOD CLIFFS"/>
    <s v="Suqu"/>
    <n v="1332"/>
    <s v="Inactivo"/>
    <n v="287.49630000000002"/>
    <n v="130"/>
    <x v="1"/>
  </r>
  <r>
    <n v="124"/>
    <s v="Monica"/>
    <s v="Storry"/>
    <n v="322079719"/>
    <s v="corriente"/>
    <n v="110935.17"/>
    <d v="2023-12-12T00:00:00"/>
    <d v="2018-12-15T00:00:00"/>
    <s v="HAWTHORNE"/>
    <s v="Paris 04"/>
    <n v="565"/>
    <s v="Inactivo"/>
    <n v="356.87810000000002"/>
    <n v="311"/>
    <x v="1"/>
  </r>
  <r>
    <n v="125"/>
    <s v="Cobbie"/>
    <s v="Challis"/>
    <n v="81004591"/>
    <s v="corriente"/>
    <n v="110848.01"/>
    <d v="2022-07-26T00:00:00"/>
    <d v="2018-12-02T00:00:00"/>
    <s v="KANSAS CITY"/>
    <s v="Krzyżanów"/>
    <n v="1069"/>
    <s v="Inactivo"/>
    <n v="311.08569999999997"/>
    <n v="356"/>
    <x v="0"/>
  </r>
  <r>
    <n v="126"/>
    <s v="Gabi"/>
    <s v="Meale"/>
    <n v="122220593"/>
    <s v="corriente"/>
    <n v="211811.4"/>
    <d v="2025-04-09T00:00:00"/>
    <d v="2018-08-23T00:00:00"/>
    <s v="SAN DIEGO"/>
    <s v="Bokaa"/>
    <n v="81"/>
    <s v="Activo"/>
    <n v="386.0795"/>
    <n v="549"/>
    <x v="0"/>
  </r>
  <r>
    <n v="127"/>
    <s v="Alphonse"/>
    <s v="Youster"/>
    <n v="253184359"/>
    <s v="corriente"/>
    <n v="14576.68"/>
    <d v="2025-02-05T00:00:00"/>
    <d v="2016-06-08T00:00:00"/>
    <s v="ASHEVILLE"/>
    <s v="Devon"/>
    <n v="144"/>
    <s v="Activo"/>
    <n v="378.44290000000001"/>
    <n v="39"/>
    <x v="0"/>
  </r>
  <r>
    <n v="128"/>
    <s v="Farand"/>
    <s v="Trainer"/>
    <n v="63115437"/>
    <s v="ahorros"/>
    <n v="144845.92000000001"/>
    <d v="2024-01-22T00:00:00"/>
    <d v="2017-02-14T00:00:00"/>
    <s v="WAYNE"/>
    <s v="Banjar Laing"/>
    <n v="524"/>
    <s v="Inactivo"/>
    <n v="359.00869999999998"/>
    <n v="403"/>
    <x v="0"/>
  </r>
  <r>
    <n v="129"/>
    <s v="Wilbert"/>
    <s v="Garrud"/>
    <n v="11101613"/>
    <s v="corriente"/>
    <n v="197691.63"/>
    <d v="2022-12-18T00:00:00"/>
    <d v="2017-11-15T00:00:00"/>
    <s v="NEW BRITAIN"/>
    <s v="Al Ghandūrah"/>
    <n v="924"/>
    <s v="Inactivo"/>
    <n v="323.35149999999999"/>
    <n v="611"/>
    <x v="0"/>
  </r>
  <r>
    <n v="130"/>
    <s v="Darb"/>
    <s v="Leavey"/>
    <n v="53201607"/>
    <s v="corriente"/>
    <n v="174922.59"/>
    <d v="2022-08-27T00:00:00"/>
    <d v="2017-03-03T00:00:00"/>
    <s v="WILSON"/>
    <s v="Zhujiaqiao"/>
    <n v="1037"/>
    <s v="Inactivo"/>
    <n v="313.08460000000002"/>
    <n v="559"/>
    <x v="0"/>
  </r>
  <r>
    <n v="131"/>
    <s v="Joyous"/>
    <s v="Andresen"/>
    <n v="63115631"/>
    <s v="corriente"/>
    <n v="61135.4"/>
    <d v="2025-02-20T00:00:00"/>
    <d v="2016-12-21T00:00:00"/>
    <s v="LEWISTON"/>
    <s v="Sanjō"/>
    <n v="129"/>
    <s v="Activo"/>
    <n v="379.63729999999998"/>
    <n v="161"/>
    <x v="0"/>
  </r>
  <r>
    <n v="132"/>
    <s v="Marianne"/>
    <s v="Lindelof"/>
    <n v="122242759"/>
    <s v="corriente"/>
    <n v="77170.87"/>
    <d v="2022-06-17T00:00:00"/>
    <d v="2017-04-21T00:00:00"/>
    <s v="ONTARIO"/>
    <s v="Phayakkhaphum Phisai"/>
    <n v="1108"/>
    <s v="Inactivo"/>
    <n v="308.10980000000001"/>
    <n v="250"/>
    <x v="1"/>
  </r>
  <r>
    <n v="133"/>
    <s v="Wheeler"/>
    <s v="Emmanueli"/>
    <n v="61000146"/>
    <s v="corriente"/>
    <n v="146291.60999999999"/>
    <d v="2020-03-21T00:00:00"/>
    <d v="2017-02-28T00:00:00"/>
    <s v="ATLANTA"/>
    <s v="Itoigawa"/>
    <n v="1926"/>
    <s v="Inactivo"/>
    <n v="273.04160000000002"/>
    <n v="536"/>
    <x v="0"/>
  </r>
  <r>
    <n v="134"/>
    <s v="Wyatt"/>
    <s v="Sapsed"/>
    <n v="111904231"/>
    <s v="corriente"/>
    <n v="68895.72"/>
    <d v="2024-10-11T00:00:00"/>
    <d v="2018-05-06T00:00:00"/>
    <s v="SAN SABA"/>
    <s v="Lisków"/>
    <n v="261"/>
    <s v="Activo"/>
    <n v="375.84010000000001"/>
    <n v="183"/>
    <x v="0"/>
  </r>
  <r>
    <n v="135"/>
    <s v="Judi"/>
    <s v="Caddie"/>
    <n v="62205733"/>
    <s v="corriente"/>
    <n v="207499.47"/>
    <d v="2021-04-26T00:00:00"/>
    <d v="2018-07-26T00:00:00"/>
    <s v="TUPELO"/>
    <s v="Hinthada"/>
    <n v="1525"/>
    <s v="Inactivo"/>
    <n v="279.33210000000003"/>
    <n v="743"/>
    <x v="0"/>
  </r>
  <r>
    <n v="136"/>
    <s v="Lyndell"/>
    <s v="Jorn"/>
    <n v="51504623"/>
    <s v="corriente"/>
    <n v="28375.06"/>
    <d v="2023-01-15T00:00:00"/>
    <d v="2017-04-03T00:00:00"/>
    <s v="CHARLESTON"/>
    <s v="Balas"/>
    <n v="896"/>
    <s v="Inactivo"/>
    <n v="325.59960000000001"/>
    <n v="87"/>
    <x v="1"/>
  </r>
  <r>
    <n v="137"/>
    <s v="Ephrayim"/>
    <s v="Hastewell"/>
    <n v="313172052"/>
    <s v="ahorros"/>
    <n v="131656.91"/>
    <d v="2025-01-06T00:00:00"/>
    <d v="2018-02-11T00:00:00"/>
    <s v="SUGARLAND"/>
    <s v="Tras Cerros"/>
    <n v="174"/>
    <s v="Activo"/>
    <n v="376.97300000000001"/>
    <n v="349"/>
    <x v="0"/>
  </r>
  <r>
    <n v="138"/>
    <s v="Alphard"/>
    <s v="Hewkin"/>
    <n v="107004695"/>
    <s v="corriente"/>
    <n v="213348.09"/>
    <d v="2022-05-04T00:00:00"/>
    <d v="2017-11-02T00:00:00"/>
    <s v="LAKEWOOD"/>
    <s v="Duantan"/>
    <n v="1152"/>
    <s v="Inactivo"/>
    <n v="303.02859999999998"/>
    <n v="704"/>
    <x v="0"/>
  </r>
  <r>
    <n v="139"/>
    <s v="Delcine"/>
    <s v="Aikenhead"/>
    <n v="101001911"/>
    <s v="corriente"/>
    <n v="51783.95"/>
    <d v="2020-04-28T00:00:00"/>
    <d v="2017-10-07T00:00:00"/>
    <s v="RICHMOND"/>
    <s v="Derbent"/>
    <n v="1888"/>
    <s v="Inactivo"/>
    <n v="275.19290000000001"/>
    <n v="188"/>
    <x v="1"/>
  </r>
  <r>
    <n v="140"/>
    <s v="Zonnya"/>
    <s v="Wotherspoon"/>
    <n v="323270216"/>
    <s v="corriente"/>
    <n v="31684.62"/>
    <d v="2024-09-11T00:00:00"/>
    <d v="2017-08-28T00:00:00"/>
    <s v="PORTLAND"/>
    <s v="Xinpeicun"/>
    <n v="291"/>
    <s v="Activo"/>
    <n v="375.7432"/>
    <n v="84"/>
    <x v="0"/>
  </r>
  <r>
    <n v="141"/>
    <s v="Helen-elizabeth"/>
    <s v="Buessen"/>
    <n v="253272070"/>
    <s v="corriente"/>
    <n v="90356.07"/>
    <d v="2024-05-07T00:00:00"/>
    <d v="2017-04-09T00:00:00"/>
    <s v="N CHAS"/>
    <s v="Cukanguncal"/>
    <n v="418"/>
    <s v="Inactivo"/>
    <n v="369.42099999999999"/>
    <n v="245"/>
    <x v="1"/>
  </r>
  <r>
    <n v="142"/>
    <s v="Mirabella"/>
    <s v="Merricks"/>
    <n v="65306079"/>
    <s v="ahorros"/>
    <n v="192096.36"/>
    <d v="2023-01-14T00:00:00"/>
    <d v="2016-07-20T00:00:00"/>
    <s v="WAYNESBORO"/>
    <s v="Fengjia"/>
    <n v="897"/>
    <s v="Inactivo"/>
    <n v="325.51900000000001"/>
    <n v="590"/>
    <x v="0"/>
  </r>
  <r>
    <n v="143"/>
    <s v="Krishna"/>
    <s v="Chidley"/>
    <n v="113009464"/>
    <s v="ahorros"/>
    <n v="74082.19"/>
    <d v="2021-02-13T00:00:00"/>
    <d v="2017-01-28T00:00:00"/>
    <s v="SUGAR LAND"/>
    <s v="Gorgoram"/>
    <n v="1597"/>
    <s v="Inactivo"/>
    <n v="275.8399"/>
    <n v="269"/>
    <x v="1"/>
  </r>
  <r>
    <n v="144"/>
    <s v="Zebadiah"/>
    <s v="Bedle"/>
    <n v="72412176"/>
    <s v="ahorros"/>
    <n v="209419.06"/>
    <d v="2021-06-21T00:00:00"/>
    <d v="2017-07-10T00:00:00"/>
    <s v="CLEVELAND"/>
    <s v="Sindi"/>
    <n v="1469"/>
    <s v="Inactivo"/>
    <n v="282.44839999999999"/>
    <n v="741"/>
    <x v="0"/>
  </r>
  <r>
    <n v="145"/>
    <s v="Rad"/>
    <s v="Speed"/>
    <n v="52100547"/>
    <s v="ahorros"/>
    <n v="98249.17"/>
    <d v="2025-05-23T00:00:00"/>
    <d v="2016-04-23T00:00:00"/>
    <s v="PITTSBURGH"/>
    <s v="Staritsa"/>
    <n v="37"/>
    <s v="Activo"/>
    <n v="389.6003"/>
    <n v="252"/>
    <x v="0"/>
  </r>
  <r>
    <n v="146"/>
    <s v="Ermentrude"/>
    <s v="Penley"/>
    <n v="103101631"/>
    <s v="corriente"/>
    <n v="189186.04"/>
    <d v="2024-02-20T00:00:00"/>
    <d v="2018-07-25T00:00:00"/>
    <s v="PERRY"/>
    <s v="Puerres"/>
    <n v="495"/>
    <s v="Inactivo"/>
    <n v="360.82810000000001"/>
    <n v="524"/>
    <x v="0"/>
  </r>
  <r>
    <n v="147"/>
    <s v="Fredrika"/>
    <s v="Ebben"/>
    <n v="265470158"/>
    <s v="corriente"/>
    <n v="215713.4"/>
    <d v="2024-03-31T00:00:00"/>
    <d v="2018-12-20T00:00:00"/>
    <s v="COVINGTON"/>
    <s v="Amsterdam-Oost"/>
    <n v="455"/>
    <s v="Inactivo"/>
    <n v="365.61320000000001"/>
    <n v="590"/>
    <x v="0"/>
  </r>
  <r>
    <n v="148"/>
    <s v="Lian"/>
    <s v="Pittet"/>
    <n v="111900510"/>
    <s v="corriente"/>
    <n v="192261.95"/>
    <d v="2022-03-04T00:00:00"/>
    <d v="2018-08-26T00:00:00"/>
    <s v="RICHMOND"/>
    <s v="Koba"/>
    <n v="1213"/>
    <s v="Inactivo"/>
    <n v="294.37380000000002"/>
    <n v="653"/>
    <x v="0"/>
  </r>
  <r>
    <n v="149"/>
    <s v="Grace"/>
    <s v="Hintze"/>
    <n v="53185079"/>
    <s v="corriente"/>
    <n v="128915.27"/>
    <d v="2023-04-06T00:00:00"/>
    <d v="2018-04-27T00:00:00"/>
    <s v="DURHAM"/>
    <s v="Longbo"/>
    <n v="815"/>
    <s v="Inactivo"/>
    <n v="339.5147"/>
    <n v="380"/>
    <x v="0"/>
  </r>
  <r>
    <n v="150"/>
    <s v="Liuka"/>
    <s v="Kopelman"/>
    <n v="11900254"/>
    <s v="corriente"/>
    <n v="213883.53"/>
    <d v="2022-03-15T00:00:00"/>
    <d v="2016-12-29T00:00:00"/>
    <s v="RICHMOND"/>
    <s v="San Diego"/>
    <n v="1202"/>
    <s v="Inactivo"/>
    <n v="296.29539999999997"/>
    <n v="722"/>
    <x v="0"/>
  </r>
  <r>
    <n v="151"/>
    <s v="Lorie"/>
    <s v="Torricella"/>
    <n v="91917681"/>
    <s v="corriente"/>
    <n v="42941.86"/>
    <d v="2024-07-02T00:00:00"/>
    <d v="2018-10-09T00:00:00"/>
    <s v="WASECA"/>
    <s v="Divichibazar"/>
    <n v="362"/>
    <s v="Inactivo"/>
    <n v="373.19880000000001"/>
    <n v="115"/>
    <x v="0"/>
  </r>
  <r>
    <n v="152"/>
    <s v="Tamarra"/>
    <s v="Goodfellow"/>
    <n v="123206817"/>
    <s v="ahorros"/>
    <n v="142405.79999999999"/>
    <d v="2020-05-19T00:00:00"/>
    <d v="2017-10-18T00:00:00"/>
    <s v="SPOKANE"/>
    <s v="Lysá nad Labem"/>
    <n v="1867"/>
    <s v="Inactivo"/>
    <n v="276.13760000000002"/>
    <n v="516"/>
    <x v="0"/>
  </r>
  <r>
    <n v="153"/>
    <s v="Theodore"/>
    <s v="Stopp"/>
    <n v="26002927"/>
    <s v="corriente"/>
    <n v="41763.160000000003"/>
    <d v="2021-10-20T00:00:00"/>
    <d v="2016-05-23T00:00:00"/>
    <s v="ROSEMEAD"/>
    <s v="Mijiang"/>
    <n v="1348"/>
    <s v="Inactivo"/>
    <n v="286.9341"/>
    <n v="146"/>
    <x v="1"/>
  </r>
  <r>
    <n v="154"/>
    <s v="Clywd"/>
    <s v="Frunks"/>
    <n v="123002011"/>
    <s v="ahorros"/>
    <n v="169513.47"/>
    <d v="2022-01-05T00:00:00"/>
    <d v="2016-03-08T00:00:00"/>
    <s v="ALBANY"/>
    <s v="Totok"/>
    <n v="1271"/>
    <s v="Inactivo"/>
    <n v="288.85140000000001"/>
    <n v="587"/>
    <x v="0"/>
  </r>
  <r>
    <n v="155"/>
    <s v="Chandra"/>
    <s v="Mulrean"/>
    <n v="211174343"/>
    <s v="ahorros"/>
    <n v="53494.07"/>
    <d v="2022-04-04T00:00:00"/>
    <d v="2016-01-17T00:00:00"/>
    <s v="NEW BRITAIN"/>
    <s v="Ifakara"/>
    <n v="1182"/>
    <s v="Inactivo"/>
    <n v="299.40230000000003"/>
    <n v="179"/>
    <x v="1"/>
  </r>
  <r>
    <n v="156"/>
    <s v="Johnna"/>
    <s v="Kurdani"/>
    <n v="43304239"/>
    <s v="ahorros"/>
    <n v="79913.11"/>
    <d v="2025-01-16T00:00:00"/>
    <d v="2017-07-16T00:00:00"/>
    <s v="HERMITAGE"/>
    <s v="Loznitsa"/>
    <n v="164"/>
    <s v="Activo"/>
    <n v="377.32409999999999"/>
    <n v="212"/>
    <x v="0"/>
  </r>
  <r>
    <n v="157"/>
    <s v="Kincaid"/>
    <s v="Lacasa"/>
    <n v="211272504"/>
    <s v="ahorros"/>
    <n v="80005.210000000006"/>
    <d v="2020-11-30T00:00:00"/>
    <d v="2018-11-17T00:00:00"/>
    <s v="ROCKPORT"/>
    <s v="Meilin"/>
    <n v="1672"/>
    <s v="Inactivo"/>
    <n v="275.35849999999999"/>
    <n v="291"/>
    <x v="1"/>
  </r>
  <r>
    <n v="158"/>
    <s v="Stefania"/>
    <s v="Merlin"/>
    <n v="84204301"/>
    <s v="corriente"/>
    <n v="20834"/>
    <d v="2021-10-21T00:00:00"/>
    <d v="2016-02-22T00:00:00"/>
    <s v="BRANDON"/>
    <s v="Kosti"/>
    <n v="1347"/>
    <s v="Inactivo"/>
    <n v="286.9692"/>
    <n v="73"/>
    <x v="1"/>
  </r>
  <r>
    <n v="159"/>
    <s v="Kaitlin"/>
    <s v="Bisgrove"/>
    <n v="113110641"/>
    <s v="corriente"/>
    <n v="129762.49"/>
    <d v="2022-08-17T00:00:00"/>
    <d v="2016-04-04T00:00:00"/>
    <s v="GANADO"/>
    <s v="Umeå"/>
    <n v="1047"/>
    <s v="Inactivo"/>
    <n v="312.27089999999998"/>
    <n v="416"/>
    <x v="0"/>
  </r>
  <r>
    <n v="160"/>
    <s v="Kaye"/>
    <s v="Alti"/>
    <n v="111000038"/>
    <s v="corriente"/>
    <n v="120635.86"/>
    <d v="2020-04-04T00:00:00"/>
    <d v="2016-07-11T00:00:00"/>
    <s v="MINNEAPOLIS"/>
    <s v="Budapest"/>
    <n v="1912"/>
    <s v="Inactivo"/>
    <n v="273.86619999999999"/>
    <n v="440"/>
    <x v="0"/>
  </r>
  <r>
    <n v="161"/>
    <s v="Sharla"/>
    <s v="Slesser"/>
    <n v="44102362"/>
    <s v="corriente"/>
    <n v="111311.43"/>
    <d v="2021-01-26T00:00:00"/>
    <d v="2016-04-24T00:00:00"/>
    <s v="NEWARK"/>
    <s v="Lingdong"/>
    <n v="1615"/>
    <s v="Inactivo"/>
    <n v="275.23309999999998"/>
    <n v="404"/>
    <x v="0"/>
  </r>
  <r>
    <n v="162"/>
    <s v="Yvor"/>
    <s v="Seed"/>
    <n v="122240308"/>
    <s v="corriente"/>
    <n v="139934.19"/>
    <d v="2022-12-09T00:00:00"/>
    <d v="2017-07-01T00:00:00"/>
    <s v="CARLSBAD"/>
    <s v="Krajan"/>
    <n v="933"/>
    <s v="Inactivo"/>
    <n v="322.64830000000001"/>
    <n v="434"/>
    <x v="0"/>
  </r>
  <r>
    <n v="163"/>
    <s v="Gilberto"/>
    <s v="Gammie"/>
    <n v="121182014"/>
    <s v="corriente"/>
    <n v="157240.79"/>
    <d v="2022-06-25T00:00:00"/>
    <d v="2018-09-13T00:00:00"/>
    <s v="RALEIGH"/>
    <s v="Oesao"/>
    <n v="1100"/>
    <s v="Inactivo"/>
    <n v="308.7978"/>
    <n v="509"/>
    <x v="0"/>
  </r>
  <r>
    <n v="164"/>
    <s v="Claudio"/>
    <s v="Jowsey"/>
    <n v="11900254"/>
    <s v="ahorros"/>
    <n v="206821.66"/>
    <d v="2022-08-22T00:00:00"/>
    <d v="2017-12-21T00:00:00"/>
    <s v="RICHMOND"/>
    <s v="El Pardo"/>
    <n v="1042"/>
    <s v="Inactivo"/>
    <n v="312.67750000000001"/>
    <n v="661"/>
    <x v="0"/>
  </r>
  <r>
    <n v="165"/>
    <s v="Siobhan"/>
    <s v="Jesty"/>
    <n v="221271090"/>
    <s v="corriente"/>
    <n v="55019.05"/>
    <d v="2022-03-21T00:00:00"/>
    <d v="2016-08-04T00:00:00"/>
    <s v="WAYNE"/>
    <s v="Bicurga"/>
    <n v="1196"/>
    <s v="Inactivo"/>
    <n v="297.22410000000002"/>
    <n v="185"/>
    <x v="1"/>
  </r>
  <r>
    <n v="166"/>
    <s v="Friedrick"/>
    <s v="Gilhouley"/>
    <n v="53201814"/>
    <s v="ahorros"/>
    <n v="128858.56"/>
    <d v="2023-09-18T00:00:00"/>
    <d v="2016-09-19T00:00:00"/>
    <s v="BIRMINGHAM"/>
    <s v="Santa Magdalena"/>
    <n v="650"/>
    <s v="Inactivo"/>
    <n v="351.94799999999998"/>
    <n v="366"/>
    <x v="0"/>
  </r>
  <r>
    <n v="167"/>
    <s v="Ariel"/>
    <s v="Niset"/>
    <n v="111317637"/>
    <s v="ahorros"/>
    <n v="58402.63"/>
    <d v="2021-06-06T00:00:00"/>
    <d v="2018-01-17T00:00:00"/>
    <s v="WINTERS"/>
    <s v="Wang Nam Yen"/>
    <n v="1484"/>
    <s v="Inactivo"/>
    <n v="281.40589999999997"/>
    <n v="208"/>
    <x v="1"/>
  </r>
  <r>
    <n v="168"/>
    <s v="Nelle"/>
    <s v="Dowden"/>
    <n v="81905182"/>
    <s v="ahorros"/>
    <n v="212096.2"/>
    <d v="2023-08-01T00:00:00"/>
    <d v="2017-10-08T00:00:00"/>
    <s v="PANA"/>
    <s v="Marcala"/>
    <n v="698"/>
    <s v="Inactivo"/>
    <n v="349.47969999999998"/>
    <n v="607"/>
    <x v="0"/>
  </r>
  <r>
    <n v="169"/>
    <s v="Silvia"/>
    <s v="MacGarrity"/>
    <n v="42102018"/>
    <s v="corriente"/>
    <n v="56944.45"/>
    <d v="2024-11-13T00:00:00"/>
    <d v="2016-10-05T00:00:00"/>
    <s v="FRANKFORT"/>
    <s v="Chafé"/>
    <n v="228"/>
    <s v="Activo"/>
    <n v="376.68389999999999"/>
    <n v="151"/>
    <x v="0"/>
  </r>
  <r>
    <n v="170"/>
    <s v="Waverly"/>
    <s v="Toleman"/>
    <n v="63113772"/>
    <s v="corriente"/>
    <n v="108467.53"/>
    <d v="2024-11-26T00:00:00"/>
    <d v="2016-07-04T00:00:00"/>
    <s v="WILMINGTON"/>
    <s v="Purwodadi"/>
    <n v="215"/>
    <s v="Activo"/>
    <n v="376.56240000000003"/>
    <n v="288"/>
    <x v="0"/>
  </r>
  <r>
    <n v="171"/>
    <s v="Kayley"/>
    <s v="Stanbridge"/>
    <n v="67012413"/>
    <s v="corriente"/>
    <n v="180216.76"/>
    <d v="2024-02-11T00:00:00"/>
    <d v="2017-04-16T00:00:00"/>
    <s v="FT LAUDERDALE"/>
    <s v="Makilala"/>
    <n v="504"/>
    <s v="Inactivo"/>
    <n v="360.05009999999999"/>
    <n v="501"/>
    <x v="0"/>
  </r>
  <r>
    <n v="172"/>
    <s v="Elonore"/>
    <s v="Gallehock"/>
    <n v="62104520"/>
    <s v="ahorros"/>
    <n v="77455.929999999993"/>
    <d v="2023-09-03T00:00:00"/>
    <d v="2018-03-26T00:00:00"/>
    <s v="ATMORE"/>
    <s v="Požarevac"/>
    <n v="665"/>
    <s v="Inactivo"/>
    <n v="351.02420000000001"/>
    <n v="221"/>
    <x v="1"/>
  </r>
  <r>
    <n v="173"/>
    <s v="Saul"/>
    <s v="Perico"/>
    <n v="101109512"/>
    <s v="ahorros"/>
    <n v="206376.98"/>
    <d v="2020-01-20T00:00:00"/>
    <d v="2017-03-07T00:00:00"/>
    <s v="MOUND CITY"/>
    <s v="Geumpang"/>
    <n v="1987"/>
    <s v="Inactivo"/>
    <n v="270.95769999999999"/>
    <n v="762"/>
    <x v="0"/>
  </r>
  <r>
    <n v="174"/>
    <s v="Terence"/>
    <s v="Trematick"/>
    <n v="101105558"/>
    <s v="ahorros"/>
    <n v="133170.49"/>
    <d v="2022-04-16T00:00:00"/>
    <d v="2016-09-23T00:00:00"/>
    <s v="CHANUTE"/>
    <s v="Zea"/>
    <n v="1170"/>
    <s v="Inactivo"/>
    <n v="301.22489999999999"/>
    <n v="442"/>
    <x v="0"/>
  </r>
  <r>
    <n v="175"/>
    <s v="Catha"/>
    <s v="Cluely"/>
    <n v="104000058"/>
    <s v="ahorros"/>
    <n v="105546.58"/>
    <d v="2020-01-23T00:00:00"/>
    <d v="2016-09-26T00:00:00"/>
    <s v="MINNEAPOLIS"/>
    <s v="Zamość"/>
    <n v="1984"/>
    <s v="Inactivo"/>
    <n v="271.0258"/>
    <n v="389"/>
    <x v="0"/>
  </r>
  <r>
    <n v="176"/>
    <s v="Rana"/>
    <s v="Stanlick"/>
    <n v="113110379"/>
    <s v="corriente"/>
    <n v="142863.79999999999"/>
    <d v="2021-05-10T00:00:00"/>
    <d v="2016-06-16T00:00:00"/>
    <s v="SUGAR LAND"/>
    <s v="Salem"/>
    <n v="1511"/>
    <s v="Inactivo"/>
    <n v="279.99599999999998"/>
    <n v="510"/>
    <x v="0"/>
  </r>
  <r>
    <n v="177"/>
    <s v="Lorenzo"/>
    <s v="Romayne"/>
    <n v="221271265"/>
    <s v="corriente"/>
    <n v="26037.48"/>
    <d v="2022-04-07T00:00:00"/>
    <d v="2018-08-23T00:00:00"/>
    <s v="READING"/>
    <s v="San Teodoro"/>
    <n v="1179"/>
    <s v="Inactivo"/>
    <n v="299.87119999999999"/>
    <n v="87"/>
    <x v="1"/>
  </r>
  <r>
    <n v="178"/>
    <s v="Trescha"/>
    <s v="Gillham"/>
    <n v="61207839"/>
    <s v="corriente"/>
    <n v="208228.65"/>
    <d v="2020-10-22T00:00:00"/>
    <d v="2016-01-20T00:00:00"/>
    <s v="HINESVILLE"/>
    <s v="Novi Sad"/>
    <n v="1711"/>
    <s v="Inactivo"/>
    <n v="274.76060000000001"/>
    <n v="758"/>
    <x v="0"/>
  </r>
  <r>
    <n v="179"/>
    <s v="Vita"/>
    <s v="Schlagh"/>
    <n v="64103833"/>
    <s v="corriente"/>
    <n v="91729.3"/>
    <d v="2023-08-31T00:00:00"/>
    <d v="2016-04-26T00:00:00"/>
    <s v="CINCINNATI"/>
    <s v="Combapata"/>
    <n v="668"/>
    <s v="Inactivo"/>
    <n v="350.85480000000001"/>
    <n v="261"/>
    <x v="1"/>
  </r>
  <r>
    <n v="180"/>
    <s v="Catherina"/>
    <s v="Vina"/>
    <n v="21202175"/>
    <s v="ahorros"/>
    <n v="22816.93"/>
    <d v="2022-07-29T00:00:00"/>
    <d v="2018-12-13T00:00:00"/>
    <s v="MINNEAPOLIS"/>
    <s v="Huangcun"/>
    <n v="1066"/>
    <s v="Inactivo"/>
    <n v="311.2389"/>
    <n v="73"/>
    <x v="1"/>
  </r>
  <r>
    <n v="181"/>
    <s v="Anne-corinne"/>
    <s v="Crotty"/>
    <n v="123206011"/>
    <s v="ahorros"/>
    <n v="168136.29"/>
    <d v="2020-07-01T00:00:00"/>
    <d v="2018-06-20T00:00:00"/>
    <s v="LAKEWOOD"/>
    <s v="Avdzaga"/>
    <n v="1824"/>
    <s v="Inactivo"/>
    <n v="276.05"/>
    <n v="609"/>
    <x v="0"/>
  </r>
  <r>
    <n v="182"/>
    <s v="Lara"/>
    <s v="Lohmeyer"/>
    <n v="83900619"/>
    <s v="corriente"/>
    <n v="35407.1"/>
    <d v="2020-04-15T00:00:00"/>
    <d v="2016-05-01T00:00:00"/>
    <s v="FRANKFORT"/>
    <s v="Shikou"/>
    <n v="1901"/>
    <s v="Inactivo"/>
    <n v="274.51589999999999"/>
    <n v="129"/>
    <x v="1"/>
  </r>
  <r>
    <n v="183"/>
    <s v="Alejoa"/>
    <s v="Recke"/>
    <n v="21001208"/>
    <s v="ahorros"/>
    <n v="53571.21"/>
    <d v="2025-05-25T00:00:00"/>
    <d v="2016-10-30T00:00:00"/>
    <s v="EAST RUTHERFORD"/>
    <s v="Svoboda nad Úpou"/>
    <n v="35"/>
    <s v="Activo"/>
    <n v="389.76569999999998"/>
    <n v="137"/>
    <x v="0"/>
  </r>
  <r>
    <n v="184"/>
    <s v="Caleb"/>
    <s v="Sobieski"/>
    <n v="21300019"/>
    <s v="corriente"/>
    <n v="45574.080000000002"/>
    <d v="2022-09-04T00:00:00"/>
    <d v="2018-07-12T00:00:00"/>
    <s v="RICHMOND"/>
    <s v="Eldoret"/>
    <n v="1029"/>
    <s v="Inactivo"/>
    <n v="313.7371"/>
    <n v="145"/>
    <x v="1"/>
  </r>
  <r>
    <n v="185"/>
    <s v="Rowland"/>
    <s v="Siddall"/>
    <n v="323371076"/>
    <s v="corriente"/>
    <n v="187908.54"/>
    <d v="2024-01-04T00:00:00"/>
    <d v="2018-11-04T00:00:00"/>
    <s v="SPOKANE"/>
    <s v="Hongor"/>
    <n v="542"/>
    <s v="Inactivo"/>
    <n v="358.0487"/>
    <n v="525"/>
    <x v="0"/>
  </r>
  <r>
    <n v="186"/>
    <s v="Ingaborg"/>
    <s v="Chasen"/>
    <n v="211179982"/>
    <s v="corriente"/>
    <n v="71659.149999999994"/>
    <d v="2023-05-30T00:00:00"/>
    <d v="2016-07-13T00:00:00"/>
    <s v="RYE"/>
    <s v="Shaffa"/>
    <n v="761"/>
    <s v="Inactivo"/>
    <n v="346.02179999999998"/>
    <n v="207"/>
    <x v="1"/>
  </r>
  <r>
    <n v="187"/>
    <s v="Wendall"/>
    <s v="Brokenshire"/>
    <n v="113024504"/>
    <s v="ahorros"/>
    <n v="75211.91"/>
    <d v="2022-07-22T00:00:00"/>
    <d v="2018-08-24T00:00:00"/>
    <s v="SUGAR LAND"/>
    <s v="Suai"/>
    <n v="1073"/>
    <s v="Inactivo"/>
    <n v="310.88159999999999"/>
    <n v="242"/>
    <x v="1"/>
  </r>
  <r>
    <n v="188"/>
    <s v="Liv"/>
    <s v="Ayling"/>
    <n v="122104046"/>
    <s v="ahorros"/>
    <n v="18100.62"/>
    <d v="2023-10-01T00:00:00"/>
    <d v="2016-03-04T00:00:00"/>
    <s v="NAPERVILLE"/>
    <s v="Nantes"/>
    <n v="637"/>
    <s v="Inactivo"/>
    <n v="353.01350000000002"/>
    <n v="51"/>
    <x v="1"/>
  </r>
  <r>
    <n v="189"/>
    <s v="Talbot"/>
    <s v="Peery"/>
    <n v="53901473"/>
    <s v="ahorros"/>
    <n v="65269.75"/>
    <d v="2024-11-19T00:00:00"/>
    <d v="2018-09-17T00:00:00"/>
    <s v="MINNEAPOLIS"/>
    <s v="Vitória do Mearim"/>
    <n v="222"/>
    <s v="Activo"/>
    <n v="376.67680000000001"/>
    <n v="173"/>
    <x v="0"/>
  </r>
  <r>
    <n v="190"/>
    <s v="Minnaminnie"/>
    <s v="Symcox"/>
    <n v="107004352"/>
    <s v="ahorros"/>
    <n v="32021.83"/>
    <d v="2022-10-13T00:00:00"/>
    <d v="2018-06-26T00:00:00"/>
    <s v="LAKEWOOD"/>
    <s v="Kota Bharu"/>
    <n v="990"/>
    <s v="Inactivo"/>
    <n v="317.63080000000002"/>
    <n v="101"/>
    <x v="1"/>
  </r>
  <r>
    <n v="191"/>
    <s v="Mame"/>
    <s v="Bulstrode"/>
    <n v="53900377"/>
    <s v="ahorros"/>
    <n v="114878.41"/>
    <d v="2021-06-24T00:00:00"/>
    <d v="2017-09-07T00:00:00"/>
    <s v="RICHMOND"/>
    <s v="Limoeiro"/>
    <n v="1466"/>
    <s v="Inactivo"/>
    <n v="282.7296"/>
    <n v="406"/>
    <x v="0"/>
  </r>
  <r>
    <n v="192"/>
    <s v="Georgette"/>
    <s v="Buggs"/>
    <n v="113118342"/>
    <s v="ahorros"/>
    <n v="200852.89"/>
    <d v="2023-03-27T00:00:00"/>
    <d v="2017-07-16T00:00:00"/>
    <s v="CORRIGAN"/>
    <s v="Štitar"/>
    <n v="825"/>
    <s v="Inactivo"/>
    <n v="337.71629999999999"/>
    <n v="595"/>
    <x v="0"/>
  </r>
  <r>
    <n v="193"/>
    <s v="Chucho"/>
    <s v="Cowton"/>
    <n v="211370257"/>
    <s v="ahorros"/>
    <n v="70258.929999999993"/>
    <d v="2024-03-17T00:00:00"/>
    <d v="2017-10-12T00:00:00"/>
    <s v="LYNN"/>
    <s v="Satita"/>
    <n v="469"/>
    <s v="Inactivo"/>
    <n v="363.82760000000002"/>
    <n v="193"/>
    <x v="1"/>
  </r>
  <r>
    <n v="194"/>
    <s v="Royce"/>
    <s v="Sloan"/>
    <n v="55002244"/>
    <s v="corriente"/>
    <n v="132897.75"/>
    <d v="2024-12-12T00:00:00"/>
    <d v="2018-07-13T00:00:00"/>
    <s v="PITTSBURGH"/>
    <s v="Atipuluhan"/>
    <n v="199"/>
    <s v="Activo"/>
    <n v="376.30130000000003"/>
    <n v="353"/>
    <x v="0"/>
  </r>
  <r>
    <n v="195"/>
    <s v="Sophey"/>
    <s v="House"/>
    <n v="111904215"/>
    <s v="corriente"/>
    <n v="94691.08"/>
    <d v="2024-04-30T00:00:00"/>
    <d v="2017-04-15T00:00:00"/>
    <s v="MINNEAPOLIS"/>
    <s v="Conceição do Coité"/>
    <n v="425"/>
    <s v="Inactivo"/>
    <n v="368.8202"/>
    <n v="257"/>
    <x v="1"/>
  </r>
  <r>
    <n v="196"/>
    <s v="Nollie"/>
    <s v="Winfield"/>
    <n v="67016040"/>
    <s v="corriente"/>
    <n v="116316.67"/>
    <d v="2022-05-16T00:00:00"/>
    <d v="2016-06-30T00:00:00"/>
    <s v="FT. LAUDERDALE"/>
    <s v="Laval"/>
    <n v="1140"/>
    <s v="Inactivo"/>
    <n v="304.25819999999999"/>
    <n v="382"/>
    <x v="0"/>
  </r>
  <r>
    <n v="197"/>
    <s v="Lemar"/>
    <s v="Jouhan"/>
    <n v="71921891"/>
    <s v="ahorros"/>
    <n v="202112.89"/>
    <d v="2022-08-03T00:00:00"/>
    <d v="2017-11-08T00:00:00"/>
    <s v="CLEVELAND"/>
    <s v="Irasan"/>
    <n v="1061"/>
    <s v="Inactivo"/>
    <n v="311.49439999999998"/>
    <n v="649"/>
    <x v="0"/>
  </r>
  <r>
    <n v="198"/>
    <s v="Waverly"/>
    <s v="Hugli"/>
    <n v="65302044"/>
    <s v="corriente"/>
    <n v="205868.28"/>
    <d v="2020-10-09T00:00:00"/>
    <d v="2016-09-09T00:00:00"/>
    <s v="BELZONI"/>
    <s v="Xuancheng"/>
    <n v="1724"/>
    <s v="Inactivo"/>
    <n v="274.56799999999998"/>
    <n v="750"/>
    <x v="0"/>
  </r>
  <r>
    <n v="199"/>
    <s v="Jolynn"/>
    <s v="Ofer"/>
    <n v="84200981"/>
    <s v="corriente"/>
    <n v="199977.5"/>
    <d v="2021-07-10T00:00:00"/>
    <d v="2016-10-22T00:00:00"/>
    <s v="GREENWOOD"/>
    <s v="Ejmiatsin"/>
    <n v="1450"/>
    <s v="Inactivo"/>
    <n v="284.23399999999998"/>
    <n v="704"/>
    <x v="0"/>
  </r>
  <r>
    <n v="200"/>
    <s v="Brianna"/>
    <s v="Greenard"/>
    <n v="61219571"/>
    <s v="ahorros"/>
    <n v="177519.7"/>
    <d v="2022-05-07T00:00:00"/>
    <d v="2017-04-28T00:00:00"/>
    <s v="TUPELO"/>
    <s v="Tarica"/>
    <n v="1149"/>
    <s v="Inactivo"/>
    <n v="303.33030000000002"/>
    <n v="585"/>
    <x v="0"/>
  </r>
  <r>
    <n v="201"/>
    <s v="Glennis"/>
    <s v="Brittles"/>
    <n v="113015267"/>
    <s v="ahorros"/>
    <n v="69014.070000000007"/>
    <d v="2024-03-15T00:00:00"/>
    <d v="2018-11-07T00:00:00"/>
    <s v="SUGAR LAND"/>
    <s v="Caozhen"/>
    <n v="471"/>
    <s v="Inactivo"/>
    <n v="363.57319999999999"/>
    <n v="190"/>
    <x v="1"/>
  </r>
  <r>
    <n v="202"/>
    <s v="Carmelia"/>
    <s v="Christer"/>
    <n v="26007883"/>
    <s v="corriente"/>
    <n v="215035.68"/>
    <d v="2021-04-29T00:00:00"/>
    <d v="2018-09-25T00:00:00"/>
    <s v="RICHMOND"/>
    <s v="Wotan"/>
    <n v="1522"/>
    <s v="Inactivo"/>
    <n v="279.47430000000003"/>
    <n v="769"/>
    <x v="0"/>
  </r>
  <r>
    <n v="203"/>
    <s v="Ree"/>
    <s v="Deniset"/>
    <n v="55002286"/>
    <s v="ahorros"/>
    <n v="81042.460000000006"/>
    <d v="2020-04-03T00:00:00"/>
    <d v="2017-12-05T00:00:00"/>
    <s v="PITTSBURGH"/>
    <s v="Gambut"/>
    <n v="1913"/>
    <s v="Inactivo"/>
    <n v="273.80720000000002"/>
    <n v="296"/>
    <x v="1"/>
  </r>
  <r>
    <n v="204"/>
    <s v="Allegra"/>
    <s v="Matousek"/>
    <n v="63204746"/>
    <s v="corriente"/>
    <n v="180104.98"/>
    <d v="2022-01-18T00:00:00"/>
    <d v="2017-12-21T00:00:00"/>
    <s v="CONWAY"/>
    <s v="Prelog"/>
    <n v="1258"/>
    <s v="Inactivo"/>
    <n v="289.52019999999999"/>
    <n v="622"/>
    <x v="0"/>
  </r>
  <r>
    <n v="205"/>
    <s v="Belita"/>
    <s v="Seers"/>
    <n v="65403587"/>
    <s v="corriente"/>
    <n v="191965.44"/>
    <d v="2020-06-04T00:00:00"/>
    <d v="2018-04-06T00:00:00"/>
    <s v="COVINGTON"/>
    <s v="Baume-les-Dames"/>
    <n v="1851"/>
    <s v="Inactivo"/>
    <n v="276.3655"/>
    <n v="695"/>
    <x v="0"/>
  </r>
  <r>
    <n v="206"/>
    <s v="Marijn"/>
    <s v="Storton"/>
    <n v="31311674"/>
    <s v="corriente"/>
    <n v="114070.94"/>
    <d v="2023-10-20T00:00:00"/>
    <d v="2017-05-28T00:00:00"/>
    <s v="INDIANA"/>
    <s v="Mehtar Lām"/>
    <n v="618"/>
    <s v="Inactivo"/>
    <n v="354.47230000000002"/>
    <n v="322"/>
    <x v="1"/>
  </r>
  <r>
    <n v="207"/>
    <s v="Joana"/>
    <s v="Dalrymple"/>
    <n v="63107513"/>
    <s v="ahorros"/>
    <n v="32177.95"/>
    <d v="2021-08-08T00:00:00"/>
    <d v="2016-06-05T00:00:00"/>
    <s v="MINNEAPOLIS"/>
    <s v="Houxixi"/>
    <n v="1421"/>
    <s v="Inactivo"/>
    <n v="284.59559999999999"/>
    <n v="113"/>
    <x v="1"/>
  </r>
  <r>
    <n v="208"/>
    <s v="Nat"/>
    <s v="Ingraham"/>
    <n v="274970144"/>
    <s v="corriente"/>
    <n v="203043.5"/>
    <d v="2023-08-30T00:00:00"/>
    <d v="2016-01-28T00:00:00"/>
    <s v="CINCINNATI"/>
    <s v="Shubenka"/>
    <n v="669"/>
    <s v="Inactivo"/>
    <n v="350.79840000000002"/>
    <n v="579"/>
    <x v="0"/>
  </r>
  <r>
    <n v="209"/>
    <s v="Waldo"/>
    <s v="Haining"/>
    <n v="31308564"/>
    <s v="corriente"/>
    <n v="193049.65"/>
    <d v="2024-11-24T00:00:00"/>
    <d v="2016-07-04T00:00:00"/>
    <s v="ALBANY"/>
    <s v="Lorengau"/>
    <n v="217"/>
    <s v="Activo"/>
    <n v="376.5951"/>
    <n v="513"/>
    <x v="0"/>
  </r>
  <r>
    <n v="210"/>
    <s v="Gawen"/>
    <s v="Simner"/>
    <n v="114915081"/>
    <s v="corriente"/>
    <n v="168145.37"/>
    <d v="2022-05-13T00:00:00"/>
    <d v="2018-06-10T00:00:00"/>
    <s v="SAN ANTONIO"/>
    <s v="Huaqiao"/>
    <n v="1143"/>
    <s v="Inactivo"/>
    <n v="303.93459999999999"/>
    <n v="553"/>
    <x v="0"/>
  </r>
  <r>
    <n v="211"/>
    <s v="Pren"/>
    <s v="Swyer-Sexey"/>
    <n v="51000017"/>
    <s v="corriente"/>
    <n v="125538.76"/>
    <d v="2024-05-25T00:00:00"/>
    <d v="2016-06-16T00:00:00"/>
    <s v="HENRICO"/>
    <s v="Tlogoagung"/>
    <n v="400"/>
    <s v="Inactivo"/>
    <n v="370.81189999999998"/>
    <n v="339"/>
    <x v="0"/>
  </r>
  <r>
    <n v="212"/>
    <s v="Mariam"/>
    <s v="Gillooly"/>
    <n v="221272565"/>
    <s v="ahorros"/>
    <n v="166591.22"/>
    <d v="2020-01-29T00:00:00"/>
    <d v="2016-05-04T00:00:00"/>
    <s v="WAYNE"/>
    <s v="Banjar Yehsatang"/>
    <n v="1978"/>
    <s v="Inactivo"/>
    <n v="271.16199999999998"/>
    <n v="614"/>
    <x v="0"/>
  </r>
  <r>
    <n v="213"/>
    <s v="Malachi"/>
    <s v="Carbert"/>
    <n v="72402364"/>
    <s v="ahorros"/>
    <n v="180827.02"/>
    <d v="2025-01-19T00:00:00"/>
    <d v="2017-03-23T00:00:00"/>
    <s v="CINCINNATI"/>
    <s v="Sbikha"/>
    <n v="161"/>
    <s v="Activo"/>
    <n v="377.49169999999998"/>
    <n v="479"/>
    <x v="0"/>
  </r>
  <r>
    <n v="214"/>
    <s v="Gunther"/>
    <s v="Kienle"/>
    <n v="64101673"/>
    <s v="corriente"/>
    <n v="42848.41"/>
    <d v="2023-03-04T00:00:00"/>
    <d v="2016-01-11T00:00:00"/>
    <s v="RICHMOND"/>
    <s v="Tubli"/>
    <n v="848"/>
    <s v="Inactivo"/>
    <n v="333.25299999999999"/>
    <n v="129"/>
    <x v="1"/>
  </r>
  <r>
    <n v="215"/>
    <s v="Denyse"/>
    <s v="Uzzell"/>
    <n v="122243800"/>
    <s v="corriente"/>
    <n v="19604.97"/>
    <d v="2021-12-20T00:00:00"/>
    <d v="2017-05-25T00:00:00"/>
    <s v="SPOKANE"/>
    <s v="Mafra"/>
    <n v="1287"/>
    <s v="Inactivo"/>
    <n v="288.10879999999997"/>
    <n v="68"/>
    <x v="1"/>
  </r>
  <r>
    <n v="216"/>
    <s v="Jacquelin"/>
    <s v="Dinwoodie"/>
    <n v="43306855"/>
    <s v="corriente"/>
    <n v="198157.4"/>
    <d v="2022-06-15T00:00:00"/>
    <d v="2018-02-06T00:00:00"/>
    <s v="INDIANA"/>
    <s v="Bengtsfors"/>
    <n v="1110"/>
    <s v="Inactivo"/>
    <n v="307.93799999999999"/>
    <n v="643"/>
    <x v="0"/>
  </r>
  <r>
    <n v="217"/>
    <s v="Jess"/>
    <s v="Gemmill"/>
    <n v="63112249"/>
    <s v="corriente"/>
    <n v="96372.78"/>
    <d v="2021-01-19T00:00:00"/>
    <d v="2016-12-14T00:00:00"/>
    <s v="LAFAYETTE"/>
    <s v="Nové Sedlo"/>
    <n v="1622"/>
    <s v="Inactivo"/>
    <n v="274.99740000000003"/>
    <n v="350"/>
    <x v="0"/>
  </r>
  <r>
    <n v="218"/>
    <s v="Frederique"/>
    <s v="Adrain"/>
    <n v="72404948"/>
    <s v="ahorros"/>
    <n v="121323.18"/>
    <d v="2021-08-09T00:00:00"/>
    <d v="2018-12-25T00:00:00"/>
    <s v="MIDLAND"/>
    <s v="Santo Domingo Oeste"/>
    <n v="1420"/>
    <s v="Inactivo"/>
    <n v="284.59100000000001"/>
    <n v="426"/>
    <x v="0"/>
  </r>
  <r>
    <n v="219"/>
    <s v="Rici"/>
    <s v="Potes"/>
    <n v="101200440"/>
    <s v="ahorros"/>
    <n v="130829.22"/>
    <d v="2021-02-21T00:00:00"/>
    <d v="2018-01-06T00:00:00"/>
    <s v="GRETNA"/>
    <s v="Sceaux"/>
    <n v="1589"/>
    <s v="Inactivo"/>
    <n v="276.14940000000001"/>
    <n v="474"/>
    <x v="0"/>
  </r>
  <r>
    <n v="220"/>
    <s v="Loella"/>
    <s v="Eytel"/>
    <n v="71000521"/>
    <s v="ahorros"/>
    <n v="111123.64"/>
    <d v="2022-02-08T00:00:00"/>
    <d v="2017-09-19T00:00:00"/>
    <s v="ST. PAUL"/>
    <s v="Ruse"/>
    <n v="1237"/>
    <s v="Inactivo"/>
    <n v="290.95030000000003"/>
    <n v="382"/>
    <x v="0"/>
  </r>
  <r>
    <n v="221"/>
    <s v="Richard"/>
    <s v="Gouly"/>
    <n v="262285223"/>
    <s v="ahorros"/>
    <n v="57678.720000000001"/>
    <d v="2022-09-30T00:00:00"/>
    <d v="2018-09-13T00:00:00"/>
    <s v="FORT PAYNE"/>
    <s v="Jaen"/>
    <n v="1003"/>
    <s v="Inactivo"/>
    <n v="316.2371"/>
    <n v="182"/>
    <x v="1"/>
  </r>
  <r>
    <n v="222"/>
    <s v="Clarissa"/>
    <s v="Darleston"/>
    <n v="42100272"/>
    <s v="ahorros"/>
    <n v="111244.22"/>
    <d v="2023-11-18T00:00:00"/>
    <d v="2018-07-05T00:00:00"/>
    <s v="CINCINNATI"/>
    <s v="Palermo"/>
    <n v="589"/>
    <s v="Inactivo"/>
    <n v="356.16590000000002"/>
    <n v="312"/>
    <x v="1"/>
  </r>
  <r>
    <n v="223"/>
    <s v="Marjy"/>
    <s v="Dadley"/>
    <n v="102104600"/>
    <s v="ahorros"/>
    <n v="45955.45"/>
    <d v="2021-01-15T00:00:00"/>
    <d v="2017-12-27T00:00:00"/>
    <s v="KANSAS CITY"/>
    <s v="San Isidro"/>
    <n v="1626"/>
    <s v="Inactivo"/>
    <n v="274.86290000000002"/>
    <n v="167"/>
    <x v="1"/>
  </r>
  <r>
    <n v="224"/>
    <s v="Aubry"/>
    <s v="Griston"/>
    <n v="103112992"/>
    <s v="ahorros"/>
    <n v="55292.46"/>
    <d v="2024-01-25T00:00:00"/>
    <d v="2016-10-01T00:00:00"/>
    <s v="DUNCAN"/>
    <s v="Venëv"/>
    <n v="521"/>
    <s v="Inactivo"/>
    <n v="359.16469999999998"/>
    <n v="154"/>
    <x v="1"/>
  </r>
  <r>
    <n v="225"/>
    <s v="Bing"/>
    <s v="Emanulsson"/>
    <n v="73904188"/>
    <s v="corriente"/>
    <n v="201414.8"/>
    <d v="2023-02-22T00:00:00"/>
    <d v="2018-05-24T00:00:00"/>
    <s v="SIOUX FALLS"/>
    <s v="Sambilawang"/>
    <n v="858"/>
    <s v="Inactivo"/>
    <n v="331.15969999999999"/>
    <n v="608"/>
    <x v="0"/>
  </r>
  <r>
    <n v="226"/>
    <s v="Madonna"/>
    <s v="Hembling"/>
    <n v="43303447"/>
    <s v="corriente"/>
    <n v="100520.88"/>
    <d v="2024-04-07T00:00:00"/>
    <d v="2018-08-08T00:00:00"/>
    <s v="PITTSBURGH"/>
    <s v="Stockholm"/>
    <n v="448"/>
    <s v="Inactivo"/>
    <n v="366.5093"/>
    <n v="274"/>
    <x v="1"/>
  </r>
  <r>
    <n v="227"/>
    <s v="Esma"/>
    <s v="Endacott"/>
    <n v="11401135"/>
    <s v="ahorros"/>
    <n v="19411.689999999999"/>
    <d v="2024-06-11T00:00:00"/>
    <d v="2018-09-11T00:00:00"/>
    <s v="LAWRENCE"/>
    <s v="Kohlu"/>
    <n v="383"/>
    <s v="Inactivo"/>
    <n v="372.01010000000002"/>
    <n v="52"/>
    <x v="1"/>
  </r>
  <r>
    <n v="228"/>
    <s v="Lane"/>
    <s v="Binner"/>
    <n v="41204726"/>
    <s v="ahorros"/>
    <n v="23688.87"/>
    <d v="2020-01-16T00:00:00"/>
    <d v="2018-12-04T00:00:00"/>
    <s v="BELLEVUE"/>
    <s v="Rockford"/>
    <n v="1991"/>
    <s v="Inactivo"/>
    <n v="270.86689999999999"/>
    <n v="87"/>
    <x v="1"/>
  </r>
  <r>
    <n v="229"/>
    <s v="Dionne"/>
    <s v="Karus"/>
    <n v="73902287"/>
    <s v="corriente"/>
    <n v="94947.91"/>
    <d v="2022-05-21T00:00:00"/>
    <d v="2017-12-31T00:00:00"/>
    <s v="HOLSTEIN"/>
    <s v="Jāmpur"/>
    <n v="1135"/>
    <s v="Inactivo"/>
    <n v="304.86840000000001"/>
    <n v="311"/>
    <x v="1"/>
  </r>
  <r>
    <n v="230"/>
    <s v="Marquita"/>
    <s v="Oxbe"/>
    <n v="42307224"/>
    <s v="corriente"/>
    <n v="165970.29999999999"/>
    <d v="2020-06-07T00:00:00"/>
    <d v="2017-01-18T00:00:00"/>
    <s v="NEWARK"/>
    <s v="Juḩr ad Dīk"/>
    <n v="1848"/>
    <s v="Inactivo"/>
    <n v="276.4083"/>
    <n v="600"/>
    <x v="0"/>
  </r>
  <r>
    <n v="231"/>
    <s v="Datha"/>
    <s v="Tolle"/>
    <n v="231375290"/>
    <s v="corriente"/>
    <n v="186363.71"/>
    <d v="2024-12-12T00:00:00"/>
    <d v="2016-02-12T00:00:00"/>
    <s v="HERMITAGE"/>
    <s v="Zaslawye"/>
    <n v="199"/>
    <s v="Activo"/>
    <n v="376.30130000000003"/>
    <n v="495"/>
    <x v="0"/>
  </r>
  <r>
    <n v="232"/>
    <s v="Toma"/>
    <s v="Priter"/>
    <n v="83002342"/>
    <s v="corriente"/>
    <n v="177135.53"/>
    <d v="2022-11-11T00:00:00"/>
    <d v="2017-01-10T00:00:00"/>
    <s v="CINCINNATI"/>
    <s v="Voskopojë"/>
    <n v="961"/>
    <s v="Inactivo"/>
    <n v="320.41879999999998"/>
    <n v="553"/>
    <x v="0"/>
  </r>
  <r>
    <n v="233"/>
    <s v="Marcelo"/>
    <s v="Basil"/>
    <n v="75903983"/>
    <s v="ahorros"/>
    <n v="123061.24"/>
    <d v="2020-10-10T00:00:00"/>
    <d v="2017-07-03T00:00:00"/>
    <s v="LOYAL"/>
    <s v="Pysznica"/>
    <n v="1723"/>
    <s v="Inactivo"/>
    <n v="274.56709999999998"/>
    <n v="448"/>
    <x v="0"/>
  </r>
  <r>
    <n v="234"/>
    <s v="Rasla"/>
    <s v="Gilberthorpe"/>
    <n v="111103058"/>
    <s v="corriente"/>
    <n v="161817.35"/>
    <d v="2020-04-18T00:00:00"/>
    <d v="2018-04-01T00:00:00"/>
    <s v="TUPELO"/>
    <s v="Bindura"/>
    <n v="1898"/>
    <s v="Inactivo"/>
    <n v="274.67200000000003"/>
    <n v="589"/>
    <x v="0"/>
  </r>
  <r>
    <n v="235"/>
    <s v="Miguela"/>
    <s v="Besset"/>
    <n v="111104853"/>
    <s v="ahorros"/>
    <n v="161539.29999999999"/>
    <d v="2024-12-21T00:00:00"/>
    <d v="2018-10-18T00:00:00"/>
    <s v="RICHMOND"/>
    <s v="Rudnichnyy"/>
    <n v="190"/>
    <s v="Activo"/>
    <n v="376.44869999999997"/>
    <n v="429"/>
    <x v="0"/>
  </r>
  <r>
    <n v="236"/>
    <s v="Tucker"/>
    <s v="Brundill"/>
    <n v="84000084"/>
    <s v="corriente"/>
    <n v="93689.39"/>
    <d v="2024-06-28T00:00:00"/>
    <d v="2016-06-19T00:00:00"/>
    <s v="BIRMINGHAM"/>
    <s v="Zaoshi"/>
    <n v="366"/>
    <s v="Inactivo"/>
    <n v="372.98540000000003"/>
    <n v="251"/>
    <x v="1"/>
  </r>
  <r>
    <n v="237"/>
    <s v="Vida"/>
    <s v="Wessel"/>
    <n v="265270222"/>
    <s v="ahorros"/>
    <n v="146958.06"/>
    <d v="2022-02-12T00:00:00"/>
    <d v="2016-04-04T00:00:00"/>
    <s v="LAYAYETTE"/>
    <s v="Czernice Borowe"/>
    <n v="1233"/>
    <s v="Inactivo"/>
    <n v="291.2235"/>
    <n v="505"/>
    <x v="0"/>
  </r>
  <r>
    <n v="238"/>
    <s v="Ina"/>
    <s v="Esh"/>
    <n v="75912165"/>
    <s v="corriente"/>
    <n v="143714.18"/>
    <d v="2021-08-31T00:00:00"/>
    <d v="2016-05-16T00:00:00"/>
    <s v="NAPERVILLE"/>
    <s v="Gukovo"/>
    <n v="1398"/>
    <s v="Inactivo"/>
    <n v="285.03300000000002"/>
    <n v="504"/>
    <x v="0"/>
  </r>
  <r>
    <n v="239"/>
    <s v="Lyndsie"/>
    <s v="Nother"/>
    <n v="61302417"/>
    <s v="corriente"/>
    <n v="217199.97"/>
    <d v="2023-01-14T00:00:00"/>
    <d v="2017-08-25T00:00:00"/>
    <s v="RICHMOND"/>
    <s v="T’et’ri Tsqaro"/>
    <n v="897"/>
    <s v="Inactivo"/>
    <n v="325.51900000000001"/>
    <n v="667"/>
    <x v="0"/>
  </r>
  <r>
    <n v="240"/>
    <s v="Quent"/>
    <s v="Cullity"/>
    <n v="63115123"/>
    <s v="ahorros"/>
    <n v="218140.94"/>
    <d v="2025-02-23T00:00:00"/>
    <d v="2016-03-18T00:00:00"/>
    <s v="NAPERVILLE"/>
    <s v="Cabatuan"/>
    <n v="126"/>
    <s v="Activo"/>
    <n v="380.0181"/>
    <n v="574"/>
    <x v="0"/>
  </r>
  <r>
    <n v="241"/>
    <s v="Gare"/>
    <s v="Bennit"/>
    <n v="51404260"/>
    <s v="corriente"/>
    <n v="66622.58"/>
    <d v="2021-03-09T00:00:00"/>
    <d v="2018-03-22T00:00:00"/>
    <s v="WILSON"/>
    <s v="Judita"/>
    <n v="1573"/>
    <s v="Inactivo"/>
    <n v="276.79579999999999"/>
    <n v="241"/>
    <x v="1"/>
  </r>
  <r>
    <n v="242"/>
    <s v="Jackelyn"/>
    <s v="Stonelake"/>
    <n v="21202311"/>
    <s v="corriente"/>
    <n v="112039.63"/>
    <d v="2021-06-01T00:00:00"/>
    <d v="2017-12-07T00:00:00"/>
    <s v="PITTSBURGH"/>
    <s v="Eloúnda"/>
    <n v="1489"/>
    <s v="Inactivo"/>
    <n v="281.13900000000001"/>
    <n v="399"/>
    <x v="0"/>
  </r>
  <r>
    <n v="243"/>
    <s v="Renie"/>
    <s v="Venneur"/>
    <n v="226071004"/>
    <s v="ahorros"/>
    <n v="114370.46"/>
    <d v="2023-01-23T00:00:00"/>
    <d v="2016-03-08T00:00:00"/>
    <s v="HICKSVILLE"/>
    <s v="Vyritsa"/>
    <n v="888"/>
    <s v="Inactivo"/>
    <n v="326.65339999999998"/>
    <n v="350"/>
    <x v="0"/>
  </r>
  <r>
    <n v="244"/>
    <s v="Rockwell"/>
    <s v="Bauldry"/>
    <n v="101114303"/>
    <s v="corriente"/>
    <n v="185092.45"/>
    <d v="2023-12-01T00:00:00"/>
    <d v="2017-09-01T00:00:00"/>
    <s v="TONGANOXIE"/>
    <s v="Bergen op Zoom"/>
    <n v="576"/>
    <s v="Inactivo"/>
    <n v="356.55149999999998"/>
    <n v="519"/>
    <x v="0"/>
  </r>
  <r>
    <n v="245"/>
    <s v="Cam"/>
    <s v="Fanner"/>
    <n v="211170363"/>
    <s v="corriente"/>
    <n v="55850.17"/>
    <d v="2023-05-02T00:00:00"/>
    <d v="2016-02-22T00:00:00"/>
    <s v="RICHMOND"/>
    <s v="Américo Brasiliense"/>
    <n v="789"/>
    <s v="Inactivo"/>
    <n v="343.16660000000002"/>
    <n v="163"/>
    <x v="1"/>
  </r>
  <r>
    <n v="246"/>
    <s v="Lock"/>
    <s v="Sworne"/>
    <n v="71923323"/>
    <s v="corriente"/>
    <n v="22704.38"/>
    <d v="2022-06-27T00:00:00"/>
    <d v="2017-11-12T00:00:00"/>
    <s v="CINCINNATI"/>
    <s v="Capioví"/>
    <n v="1098"/>
    <s v="Inactivo"/>
    <n v="308.9701"/>
    <n v="73"/>
    <x v="1"/>
  </r>
  <r>
    <n v="247"/>
    <s v="Ethan"/>
    <s v="MacAllan"/>
    <n v="121031673"/>
    <s v="corriente"/>
    <n v="136864.93"/>
    <d v="2023-12-14T00:00:00"/>
    <d v="2016-08-08T00:00:00"/>
    <s v="COLMA"/>
    <s v="Chuncheon"/>
    <n v="563"/>
    <s v="Inactivo"/>
    <n v="356.9375"/>
    <n v="383"/>
    <x v="0"/>
  </r>
  <r>
    <n v="248"/>
    <s v="Simone"/>
    <s v="Guslon"/>
    <n v="122231935"/>
    <s v="ahorros"/>
    <n v="138277.23000000001"/>
    <d v="2020-10-10T00:00:00"/>
    <d v="2016-10-17T00:00:00"/>
    <s v="ENGLEWOOD CLIFFS"/>
    <s v="Liutan"/>
    <n v="1723"/>
    <s v="Inactivo"/>
    <n v="274.56709999999998"/>
    <n v="504"/>
    <x v="0"/>
  </r>
  <r>
    <n v="249"/>
    <s v="Martainn"/>
    <s v="Eadie"/>
    <n v="65000090"/>
    <s v="corriente"/>
    <n v="53407.82"/>
    <d v="2024-02-01T00:00:00"/>
    <d v="2017-12-06T00:00:00"/>
    <s v="RICHMOND"/>
    <s v="Darovskoy"/>
    <n v="514"/>
    <s v="Inactivo"/>
    <n v="359.529"/>
    <n v="149"/>
    <x v="1"/>
  </r>
  <r>
    <n v="250"/>
    <s v="Darb"/>
    <s v="McLaverty"/>
    <n v="53112453"/>
    <s v="ahorros"/>
    <n v="124674.6"/>
    <d v="2021-05-03T00:00:00"/>
    <d v="2016-04-13T00:00:00"/>
    <s v="HERMITAGE"/>
    <s v="Toutuo"/>
    <n v="1518"/>
    <s v="Inactivo"/>
    <n v="279.66390000000001"/>
    <n v="446"/>
    <x v="0"/>
  </r>
  <r>
    <n v="251"/>
    <s v="Britte"/>
    <s v="Scott"/>
    <n v="103902717"/>
    <s v="ahorros"/>
    <n v="174481.93"/>
    <d v="2021-10-05T00:00:00"/>
    <d v="2018-03-07T00:00:00"/>
    <s v="TULSA"/>
    <s v="Solnechnogorsk"/>
    <n v="1363"/>
    <s v="Inactivo"/>
    <n v="286.32979999999998"/>
    <n v="609"/>
    <x v="0"/>
  </r>
  <r>
    <n v="252"/>
    <s v="Glenn"/>
    <s v="Klimus"/>
    <n v="122240764"/>
    <s v="ahorros"/>
    <n v="42003.41"/>
    <d v="2022-05-18T00:00:00"/>
    <d v="2018-03-05T00:00:00"/>
    <s v="ONTARIO"/>
    <s v="Forquilhinha"/>
    <n v="1138"/>
    <s v="Inactivo"/>
    <n v="304.50209999999998"/>
    <n v="138"/>
    <x v="1"/>
  </r>
  <r>
    <n v="253"/>
    <s v="Sigvard"/>
    <s v="Hellens"/>
    <n v="111322583"/>
    <s v="ahorros"/>
    <n v="63072.03"/>
    <d v="2021-04-29T00:00:00"/>
    <d v="2018-12-22T00:00:00"/>
    <s v="SUGAR LAND"/>
    <s v="Banjar Bias"/>
    <n v="1522"/>
    <s v="Inactivo"/>
    <n v="279.47430000000003"/>
    <n v="226"/>
    <x v="1"/>
  </r>
  <r>
    <n v="254"/>
    <s v="Darleen"/>
    <s v="Craddock"/>
    <n v="56004089"/>
    <s v="ahorros"/>
    <n v="210644.7"/>
    <d v="2020-06-09T00:00:00"/>
    <d v="2016-09-05T00:00:00"/>
    <s v="MINNEAPOLIS"/>
    <s v="Viana"/>
    <n v="1846"/>
    <s v="Inactivo"/>
    <n v="276.43680000000001"/>
    <n v="762"/>
    <x v="0"/>
  </r>
  <r>
    <n v="255"/>
    <s v="Elvis"/>
    <s v="Paull"/>
    <n v="107006143"/>
    <s v="ahorros"/>
    <n v="182846.44"/>
    <d v="2023-01-26T00:00:00"/>
    <d v="2018-06-04T00:00:00"/>
    <s v="LAKEWOOD"/>
    <s v="Mahalapye"/>
    <n v="885"/>
    <s v="Inactivo"/>
    <n v="327.04950000000002"/>
    <n v="559"/>
    <x v="0"/>
  </r>
  <r>
    <n v="256"/>
    <s v="Dyane"/>
    <s v="Brugden"/>
    <n v="21000089"/>
    <s v="ahorros"/>
    <n v="169989.91"/>
    <d v="2021-03-21T00:00:00"/>
    <d v="2016-09-18T00:00:00"/>
    <s v="NEW CASTLE"/>
    <s v="Mogoditshane"/>
    <n v="1561"/>
    <s v="Inactivo"/>
    <n v="277.3809"/>
    <n v="613"/>
    <x v="0"/>
  </r>
  <r>
    <n v="257"/>
    <s v="Danyette"/>
    <s v="Scragg"/>
    <n v="107000796"/>
    <s v="corriente"/>
    <n v="186453.68"/>
    <d v="2020-12-01T00:00:00"/>
    <d v="2017-03-24T00:00:00"/>
    <s v="RICHMOND"/>
    <s v="Kimhae"/>
    <n v="1671"/>
    <s v="Inactivo"/>
    <n v="275.35289999999998"/>
    <n v="677"/>
    <x v="0"/>
  </r>
  <r>
    <n v="258"/>
    <s v="Imojean"/>
    <s v="Harman"/>
    <n v="102005916"/>
    <s v="ahorros"/>
    <n v="23204.32"/>
    <d v="2024-01-26T00:00:00"/>
    <d v="2016-07-19T00:00:00"/>
    <s v="LAKEWOOD"/>
    <s v="Minglanilla"/>
    <n v="520"/>
    <s v="Inactivo"/>
    <n v="359.2167"/>
    <n v="65"/>
    <x v="1"/>
  </r>
  <r>
    <n v="259"/>
    <s v="Benoite"/>
    <s v="Coche"/>
    <n v="31207966"/>
    <s v="ahorros"/>
    <n v="82120.75"/>
    <d v="2020-11-07T00:00:00"/>
    <d v="2018-09-21T00:00:00"/>
    <s v="WILLIAMSTOWN"/>
    <s v="Blagoevgrad"/>
    <n v="1695"/>
    <s v="Inactivo"/>
    <n v="275.21409999999997"/>
    <n v="298"/>
    <x v="1"/>
  </r>
  <r>
    <n v="260"/>
    <s v="Cariotta"/>
    <s v="Baudouin"/>
    <n v="72000915"/>
    <s v="corriente"/>
    <n v="161928.81"/>
    <d v="2023-10-17T00:00:00"/>
    <d v="2018-12-14T00:00:00"/>
    <s v="PITTSBURGH"/>
    <s v="Sumbergayam"/>
    <n v="621"/>
    <s v="Inactivo"/>
    <n v="354.2876"/>
    <n v="457"/>
    <x v="0"/>
  </r>
  <r>
    <n v="261"/>
    <s v="Neal"/>
    <s v="Low"/>
    <n v="102102864"/>
    <s v="corriente"/>
    <n v="185207.92"/>
    <d v="2023-12-31T00:00:00"/>
    <d v="2018-04-06T00:00:00"/>
    <s v="PAGOSA SPRINGS"/>
    <s v="Cabañas"/>
    <n v="546"/>
    <s v="Inactivo"/>
    <n v="357.8322"/>
    <n v="518"/>
    <x v="0"/>
  </r>
  <r>
    <n v="262"/>
    <s v="Bondy"/>
    <s v="Alenin"/>
    <n v="63103193"/>
    <s v="ahorros"/>
    <n v="26276.02"/>
    <d v="2023-01-15T00:00:00"/>
    <d v="2018-10-15T00:00:00"/>
    <s v="RICHMOND"/>
    <s v="Krajan"/>
    <n v="896"/>
    <s v="Inactivo"/>
    <n v="325.59960000000001"/>
    <n v="81"/>
    <x v="1"/>
  </r>
  <r>
    <n v="263"/>
    <s v="Sibby"/>
    <s v="Stilly"/>
    <n v="101101057"/>
    <s v="corriente"/>
    <n v="159806.94"/>
    <d v="2022-04-30T00:00:00"/>
    <d v="2017-07-05T00:00:00"/>
    <s v="WELLINGTON"/>
    <s v="Yongjiahe"/>
    <n v="1156"/>
    <s v="Inactivo"/>
    <n v="302.62689999999998"/>
    <n v="528"/>
    <x v="0"/>
  </r>
  <r>
    <n v="264"/>
    <s v="Iorgo"/>
    <s v="Confait"/>
    <n v="84301767"/>
    <s v="corriente"/>
    <n v="37441.53"/>
    <d v="2022-06-13T00:00:00"/>
    <d v="2017-07-01T00:00:00"/>
    <s v="RICHMOND"/>
    <s v="Daiyue"/>
    <n v="1112"/>
    <s v="Inactivo"/>
    <n v="307.69130000000001"/>
    <n v="122"/>
    <x v="1"/>
  </r>
  <r>
    <n v="265"/>
    <s v="Celina"/>
    <s v="Lambert-Ciorwyn"/>
    <n v="81307227"/>
    <s v="corriente"/>
    <n v="135241.13"/>
    <d v="2021-12-16T00:00:00"/>
    <d v="2016-06-24T00:00:00"/>
    <s v="POSEYVILLE"/>
    <s v="Kamloops"/>
    <n v="1291"/>
    <s v="Inactivo"/>
    <n v="287.92340000000002"/>
    <n v="470"/>
    <x v="0"/>
  </r>
  <r>
    <n v="266"/>
    <s v="Etheline"/>
    <s v="Mival"/>
    <n v="221370616"/>
    <s v="ahorros"/>
    <n v="86999.26"/>
    <d v="2023-05-11T00:00:00"/>
    <d v="2018-04-26T00:00:00"/>
    <s v="ALBANY"/>
    <s v="Sychëvo"/>
    <n v="780"/>
    <s v="Inactivo"/>
    <n v="344.24360000000001"/>
    <n v="253"/>
    <x v="1"/>
  </r>
  <r>
    <n v="267"/>
    <s v="Marylou"/>
    <s v="Hallas"/>
    <n v="51008996"/>
    <s v="corriente"/>
    <n v="103645.52"/>
    <d v="2025-01-21T00:00:00"/>
    <d v="2017-11-24T00:00:00"/>
    <s v="ELIZABETH CITY"/>
    <s v="Port Antonio"/>
    <n v="159"/>
    <s v="Activo"/>
    <n v="377.6035"/>
    <n v="274"/>
    <x v="0"/>
  </r>
  <r>
    <n v="268"/>
    <s v="Onfre"/>
    <s v="Chatters"/>
    <n v="71006282"/>
    <s v="corriente"/>
    <n v="156636.01"/>
    <d v="2024-08-08T00:00:00"/>
    <d v="2016-02-21T00:00:00"/>
    <s v="LOS ANGELES"/>
    <s v="Verkhniy Baskunchak"/>
    <n v="325"/>
    <s v="Activo"/>
    <n v="374.81939999999997"/>
    <n v="418"/>
    <x v="0"/>
  </r>
  <r>
    <n v="269"/>
    <s v="Clement"/>
    <s v="Ballard"/>
    <n v="273970941"/>
    <s v="corriente"/>
    <n v="132144.18"/>
    <d v="2023-01-25T00:00:00"/>
    <d v="2016-10-28T00:00:00"/>
    <s v="CLARINDA"/>
    <s v="Kaum"/>
    <n v="886"/>
    <s v="Inactivo"/>
    <n v="326.91739999999999"/>
    <n v="404"/>
    <x v="0"/>
  </r>
  <r>
    <n v="270"/>
    <s v="Corenda"/>
    <s v="Copnar"/>
    <n v="55002480"/>
    <s v="ahorros"/>
    <n v="137447.12"/>
    <d v="2022-01-10T00:00:00"/>
    <d v="2018-02-02T00:00:00"/>
    <s v="HERMITAGE"/>
    <s v="Petrikov"/>
    <n v="1266"/>
    <s v="Inactivo"/>
    <n v="289.0838"/>
    <n v="475"/>
    <x v="0"/>
  </r>
  <r>
    <n v="271"/>
    <s v="Mahala"/>
    <s v="Casaro"/>
    <n v="72402704"/>
    <s v="corriente"/>
    <n v="100684.47"/>
    <d v="2023-09-08T00:00:00"/>
    <d v="2017-09-19T00:00:00"/>
    <s v="CINCINNATI"/>
    <s v="Lac La Biche"/>
    <n v="660"/>
    <s v="Inactivo"/>
    <n v="351.30669999999998"/>
    <n v="287"/>
    <x v="1"/>
  </r>
  <r>
    <n v="272"/>
    <s v="Vicki"/>
    <s v="Floyed"/>
    <n v="113193532"/>
    <s v="ahorros"/>
    <n v="68610.89"/>
    <d v="2021-07-10T00:00:00"/>
    <d v="2016-08-22T00:00:00"/>
    <s v="NEW CASTLE"/>
    <s v="Andapa"/>
    <n v="1450"/>
    <s v="Inactivo"/>
    <n v="284.23399999999998"/>
    <n v="241"/>
    <x v="1"/>
  </r>
  <r>
    <n v="273"/>
    <s v="Iosep"/>
    <s v="Vahey"/>
    <n v="73903503"/>
    <s v="ahorros"/>
    <n v="111737.07"/>
    <d v="2024-09-04T00:00:00"/>
    <d v="2018-01-29T00:00:00"/>
    <s v="STORM LAKE"/>
    <s v="Sedandang"/>
    <n v="298"/>
    <s v="Activo"/>
    <n v="375.57369999999997"/>
    <n v="298"/>
    <x v="0"/>
  </r>
  <r>
    <n v="274"/>
    <s v="Annis"/>
    <s v="Landeaux"/>
    <n v="62203395"/>
    <s v="ahorros"/>
    <n v="101224.91"/>
    <d v="2021-12-02T00:00:00"/>
    <d v="2016-10-19T00:00:00"/>
    <s v="PELL CITY"/>
    <s v="Warren"/>
    <n v="1305"/>
    <s v="Inactivo"/>
    <n v="287.8646"/>
    <n v="352"/>
    <x v="0"/>
  </r>
  <r>
    <n v="275"/>
    <s v="Ashli"/>
    <s v="Seago"/>
    <n v="75907413"/>
    <s v="ahorros"/>
    <n v="32766.799999999999"/>
    <d v="2022-01-20T00:00:00"/>
    <d v="2018-07-28T00:00:00"/>
    <s v="MILTON"/>
    <s v="Yên Bái"/>
    <n v="1256"/>
    <s v="Inactivo"/>
    <n v="289.65609999999998"/>
    <n v="113"/>
    <x v="1"/>
  </r>
  <r>
    <n v="276"/>
    <s v="Ashlee"/>
    <s v="Savine"/>
    <n v="261170740"/>
    <s v="corriente"/>
    <n v="97070.64"/>
    <d v="2025-06-18T00:00:00"/>
    <d v="2017-11-30T00:00:00"/>
    <s v="BIRMINGHAM"/>
    <s v="Emiliano Zapata"/>
    <n v="11"/>
    <s v="Activo"/>
    <n v="391.63159999999999"/>
    <n v="248"/>
    <x v="0"/>
  </r>
  <r>
    <n v="277"/>
    <s v="Haroun"/>
    <s v="cornhill"/>
    <n v="91902531"/>
    <s v="corriente"/>
    <n v="80635.58"/>
    <d v="2022-07-16T00:00:00"/>
    <d v="2016-12-08T00:00:00"/>
    <s v="BENSON"/>
    <s v="Bueng Kum"/>
    <n v="1079"/>
    <s v="Inactivo"/>
    <n v="310.57569999999998"/>
    <n v="260"/>
    <x v="1"/>
  </r>
  <r>
    <n v="278"/>
    <s v="Pen"/>
    <s v="Gregoire"/>
    <n v="84202837"/>
    <s v="ahorros"/>
    <n v="196826.86"/>
    <d v="2020-05-18T00:00:00"/>
    <d v="2017-01-19T00:00:00"/>
    <s v="TUPELO"/>
    <s v="Qinhong"/>
    <n v="1868"/>
    <s v="Inactivo"/>
    <n v="276.12329999999997"/>
    <n v="713"/>
    <x v="0"/>
  </r>
  <r>
    <n v="279"/>
    <s v="Linnell"/>
    <s v="Minshull"/>
    <n v="122237515"/>
    <s v="ahorros"/>
    <n v="108210.71"/>
    <d v="2024-02-13T00:00:00"/>
    <d v="2016-03-31T00:00:00"/>
    <s v="ALHAMBRA"/>
    <s v="Lovrenc na Pohorju"/>
    <n v="502"/>
    <s v="Inactivo"/>
    <n v="360.15449999999998"/>
    <n v="300"/>
    <x v="1"/>
  </r>
  <r>
    <n v="280"/>
    <s v="Arman"/>
    <s v="Sheehan"/>
    <n v="71926320"/>
    <s v="corriente"/>
    <n v="112899.42"/>
    <d v="2023-10-03T00:00:00"/>
    <d v="2016-06-29T00:00:00"/>
    <s v="NAPERVILLE"/>
    <s v="Tilang"/>
    <n v="635"/>
    <s v="Inactivo"/>
    <n v="353.17770000000002"/>
    <n v="320"/>
    <x v="1"/>
  </r>
  <r>
    <n v="281"/>
    <s v="Allyson"/>
    <s v="Whorton"/>
    <n v="82904726"/>
    <s v="ahorros"/>
    <n v="56532.41"/>
    <d v="2024-09-08T00:00:00"/>
    <d v="2016-08-05T00:00:00"/>
    <s v="EUREKA SPRINGS"/>
    <s v="Hezheng Chengguanzhen"/>
    <n v="294"/>
    <s v="Activo"/>
    <n v="375.67059999999998"/>
    <n v="150"/>
    <x v="0"/>
  </r>
  <r>
    <n v="282"/>
    <s v="Tony"/>
    <s v="Mendenhall"/>
    <n v="111000805"/>
    <s v="corriente"/>
    <n v="179289.19"/>
    <d v="2024-07-20T00:00:00"/>
    <d v="2016-09-29T00:00:00"/>
    <s v="SUGAR LAND"/>
    <s v="Niitsu-honchō"/>
    <n v="344"/>
    <s v="Activo"/>
    <n v="374.08609999999999"/>
    <n v="479"/>
    <x v="0"/>
  </r>
  <r>
    <n v="283"/>
    <s v="Sergeant"/>
    <s v="Lethbridge"/>
    <n v="71002503"/>
    <s v="corriente"/>
    <n v="150572.88"/>
    <d v="2023-12-04T00:00:00"/>
    <d v="2016-03-27T00:00:00"/>
    <s v="ROSEMONT"/>
    <s v="Guanqian"/>
    <n v="573"/>
    <s v="Inactivo"/>
    <n v="356.64049999999997"/>
    <n v="422"/>
    <x v="0"/>
  </r>
  <r>
    <n v="284"/>
    <s v="Maximilien"/>
    <s v="Kobelt"/>
    <n v="55003340"/>
    <s v="corriente"/>
    <n v="200455.15"/>
    <d v="2022-07-30T00:00:00"/>
    <d v="2017-10-21T00:00:00"/>
    <s v="ROCKVILLE"/>
    <s v="Roanoke"/>
    <n v="1065"/>
    <s v="Inactivo"/>
    <n v="311.29000000000002"/>
    <n v="644"/>
    <x v="0"/>
  </r>
  <r>
    <n v="285"/>
    <s v="Adela"/>
    <s v="Allaway"/>
    <n v="102303841"/>
    <s v="ahorros"/>
    <n v="206737.95"/>
    <d v="2022-04-12T00:00:00"/>
    <d v="2016-03-01T00:00:00"/>
    <s v="HELENA"/>
    <s v="Jianshe"/>
    <n v="1174"/>
    <s v="Inactivo"/>
    <n v="300.6542"/>
    <n v="688"/>
    <x v="0"/>
  </r>
  <r>
    <n v="286"/>
    <s v="Corinna"/>
    <s v="Imort"/>
    <n v="103102494"/>
    <s v="corriente"/>
    <n v="193836.39"/>
    <d v="2025-04-30T00:00:00"/>
    <d v="2018-11-18T00:00:00"/>
    <s v="MARLOW"/>
    <s v="Pewel Wielka"/>
    <n v="60"/>
    <s v="Activo"/>
    <n v="387.93220000000002"/>
    <n v="500"/>
    <x v="0"/>
  </r>
  <r>
    <n v="287"/>
    <s v="Muire"/>
    <s v="Tesauro"/>
    <n v="72403473"/>
    <s v="corriente"/>
    <n v="158109.4"/>
    <d v="2024-08-09T00:00:00"/>
    <d v="2017-10-08T00:00:00"/>
    <s v="COLUMBUS"/>
    <s v="Turka"/>
    <n v="324"/>
    <s v="Activo"/>
    <n v="374.858"/>
    <n v="422"/>
    <x v="0"/>
  </r>
  <r>
    <n v="288"/>
    <s v="Cyrus"/>
    <s v="Stockford"/>
    <n v="81925816"/>
    <s v="ahorros"/>
    <n v="117837.78"/>
    <d v="2025-03-11T00:00:00"/>
    <d v="2017-01-31T00:00:00"/>
    <s v="HILLSBORO"/>
    <s v="São Pedro de Muel"/>
    <n v="110"/>
    <s v="Activo"/>
    <n v="382.05520000000001"/>
    <n v="308"/>
    <x v="0"/>
  </r>
  <r>
    <n v="289"/>
    <s v="Emily"/>
    <s v="Teare"/>
    <n v="53200446"/>
    <s v="ahorros"/>
    <n v="192395.44"/>
    <d v="2020-05-24T00:00:00"/>
    <d v="2017-01-08T00:00:00"/>
    <s v="RICHMOND"/>
    <s v="Jijiazhuang"/>
    <n v="1862"/>
    <s v="Inactivo"/>
    <n v="276.2088"/>
    <n v="697"/>
    <x v="0"/>
  </r>
  <r>
    <n v="290"/>
    <s v="Guthrie"/>
    <s v="Phare"/>
    <n v="71918150"/>
    <s v="ahorros"/>
    <n v="203568.6"/>
    <d v="2022-10-22T00:00:00"/>
    <d v="2017-04-19T00:00:00"/>
    <s v="NAPERVILLE"/>
    <s v="Concordia"/>
    <n v="981"/>
    <s v="Inactivo"/>
    <n v="318.51089999999999"/>
    <n v="639"/>
    <x v="0"/>
  </r>
  <r>
    <n v="291"/>
    <s v="Wallis"/>
    <s v="Geroldo"/>
    <n v="41202511"/>
    <s v="corriente"/>
    <n v="114830.09"/>
    <d v="2024-05-07T00:00:00"/>
    <d v="2018-02-18T00:00:00"/>
    <s v="HERMITAGE"/>
    <s v="Aco"/>
    <n v="418"/>
    <s v="Inactivo"/>
    <n v="369.42099999999999"/>
    <n v="311"/>
    <x v="1"/>
  </r>
  <r>
    <n v="292"/>
    <s v="Hedvig"/>
    <s v="Admans"/>
    <n v="91204255"/>
    <s v="corriente"/>
    <n v="177745.92000000001"/>
    <d v="2022-06-28T00:00:00"/>
    <d v="2018-04-10T00:00:00"/>
    <s v="FULDA"/>
    <s v="New Haven"/>
    <n v="1097"/>
    <s v="Inactivo"/>
    <n v="309.05619999999999"/>
    <n v="575"/>
    <x v="0"/>
  </r>
  <r>
    <n v="293"/>
    <s v="Alf"/>
    <s v="Wanstall"/>
    <n v="21004823"/>
    <s v="ahorros"/>
    <n v="195451.95"/>
    <d v="2021-12-24T00:00:00"/>
    <d v="2017-10-26T00:00:00"/>
    <s v="BUFFALO"/>
    <s v="Kanazawa-shi"/>
    <n v="1283"/>
    <s v="Inactivo"/>
    <n v="288.29419999999999"/>
    <n v="678"/>
    <x v="0"/>
  </r>
  <r>
    <n v="294"/>
    <s v="Sunny"/>
    <s v="Ship"/>
    <n v="304971987"/>
    <s v="ahorros"/>
    <n v="172302.24"/>
    <d v="2025-02-08T00:00:00"/>
    <d v="2016-06-20T00:00:00"/>
    <s v="SIOUX FALLS"/>
    <s v="Egindiköl"/>
    <n v="141"/>
    <s v="Activo"/>
    <n v="378.61110000000002"/>
    <n v="455"/>
    <x v="0"/>
  </r>
  <r>
    <n v="295"/>
    <s v="Wyatan"/>
    <s v="O'Gready"/>
    <n v="21906934"/>
    <s v="ahorros"/>
    <n v="131111.04999999999"/>
    <d v="2024-01-02T00:00:00"/>
    <d v="2017-09-17T00:00:00"/>
    <s v="ALBANY"/>
    <s v="Lampihung"/>
    <n v="544"/>
    <s v="Inactivo"/>
    <n v="357.94040000000001"/>
    <n v="366"/>
    <x v="0"/>
  </r>
  <r>
    <n v="296"/>
    <s v="Orsola"/>
    <s v="Vynall"/>
    <n v="71112817"/>
    <s v="ahorros"/>
    <n v="82730.22"/>
    <d v="2021-02-16T00:00:00"/>
    <d v="2018-05-31T00:00:00"/>
    <s v="EMDEN"/>
    <s v="Shawnee Mission"/>
    <n v="1594"/>
    <s v="Inactivo"/>
    <n v="275.9477"/>
    <n v="300"/>
    <x v="1"/>
  </r>
  <r>
    <n v="297"/>
    <s v="Aron"/>
    <s v="Wimlet"/>
    <n v="111300945"/>
    <s v="ahorros"/>
    <n v="211994.02"/>
    <d v="2021-09-17T00:00:00"/>
    <d v="2016-09-01T00:00:00"/>
    <s v="HENRICO"/>
    <s v="Raci Kulon"/>
    <n v="1381"/>
    <s v="Inactivo"/>
    <n v="285.55950000000001"/>
    <n v="742"/>
    <x v="0"/>
  </r>
  <r>
    <n v="298"/>
    <s v="Robinet"/>
    <s v="Itzkovwitch"/>
    <n v="107005953"/>
    <s v="corriente"/>
    <n v="47880.6"/>
    <d v="2024-08-28T00:00:00"/>
    <d v="2017-09-18T00:00:00"/>
    <s v="DENVER"/>
    <s v="Luthu"/>
    <n v="305"/>
    <s v="Activo"/>
    <n v="375.40429999999998"/>
    <n v="128"/>
    <x v="0"/>
  </r>
  <r>
    <n v="299"/>
    <s v="Pearl"/>
    <s v="Heineke"/>
    <n v="67016354"/>
    <s v="corriente"/>
    <n v="205093.49"/>
    <d v="2022-05-16T00:00:00"/>
    <d v="2016-02-29T00:00:00"/>
    <s v="WAYNE"/>
    <s v="Lasiana"/>
    <n v="1140"/>
    <s v="Inactivo"/>
    <n v="304.25819999999999"/>
    <n v="674"/>
    <x v="0"/>
  </r>
  <r>
    <n v="300"/>
    <s v="Hy"/>
    <s v="McColley"/>
    <n v="72407987"/>
    <s v="corriente"/>
    <n v="165865.89000000001"/>
    <d v="2023-09-02T00:00:00"/>
    <d v="2018-11-14T00:00:00"/>
    <s v="MIDLAND"/>
    <s v="Jiaowei"/>
    <n v="666"/>
    <s v="Inactivo"/>
    <n v="350.96769999999998"/>
    <n v="473"/>
    <x v="0"/>
  </r>
  <r>
    <n v="301"/>
    <s v="Maxie"/>
    <s v="Aisbett"/>
    <n v="91208154"/>
    <s v="ahorros"/>
    <n v="38786"/>
    <d v="2021-05-03T00:00:00"/>
    <d v="2017-01-03T00:00:00"/>
    <s v="KIESTER"/>
    <s v="Yezhu"/>
    <n v="1518"/>
    <s v="Inactivo"/>
    <n v="279.66390000000001"/>
    <n v="139"/>
    <x v="1"/>
  </r>
  <r>
    <n v="302"/>
    <s v="Graham"/>
    <s v="Kinnaird"/>
    <n v="57000697"/>
    <s v="corriente"/>
    <n v="131190.67000000001"/>
    <d v="2020-04-23T00:00:00"/>
    <d v="2017-04-14T00:00:00"/>
    <s v="COLUMBUS"/>
    <s v="Krajan Winong"/>
    <n v="1893"/>
    <s v="Inactivo"/>
    <n v="274.9323"/>
    <n v="477"/>
    <x v="0"/>
  </r>
  <r>
    <n v="303"/>
    <s v="Kylie"/>
    <s v="Dyers"/>
    <n v="111104743"/>
    <s v="corriente"/>
    <n v="61414.51"/>
    <d v="2020-11-23T00:00:00"/>
    <d v="2018-05-24T00:00:00"/>
    <s v="TUPELO"/>
    <s v="Azua"/>
    <n v="1679"/>
    <s v="Inactivo"/>
    <n v="275.39699999999999"/>
    <n v="223"/>
    <x v="1"/>
  </r>
  <r>
    <n v="304"/>
    <s v="Seumas"/>
    <s v="Benezeit"/>
    <n v="121142779"/>
    <s v="corriente"/>
    <n v="187978.99"/>
    <d v="2024-08-26T00:00:00"/>
    <d v="2017-01-22T00:00:00"/>
    <s v="SPOKANE"/>
    <s v="Błędów"/>
    <n v="307"/>
    <s v="Activo"/>
    <n v="375.35590000000002"/>
    <n v="501"/>
    <x v="0"/>
  </r>
  <r>
    <n v="305"/>
    <s v="Amby"/>
    <s v="Cubin"/>
    <n v="62102849"/>
    <s v="corriente"/>
    <n v="184816.04"/>
    <d v="2024-09-22T00:00:00"/>
    <d v="2016-09-28T00:00:00"/>
    <s v="DOZIER"/>
    <s v="Thị Trấn Nước Hai"/>
    <n v="280"/>
    <s v="Activo"/>
    <n v="375.84010000000001"/>
    <n v="492"/>
    <x v="0"/>
  </r>
  <r>
    <n v="306"/>
    <s v="Dix"/>
    <s v="Gosforth"/>
    <n v="65302358"/>
    <s v="ahorros"/>
    <n v="71518.990000000005"/>
    <d v="2024-11-29T00:00:00"/>
    <d v="2017-01-10T00:00:00"/>
    <s v="COLUMBIA"/>
    <s v="Xindong"/>
    <n v="212"/>
    <s v="Activo"/>
    <n v="376.51350000000002"/>
    <n v="190"/>
    <x v="0"/>
  </r>
  <r>
    <n v="307"/>
    <s v="Weider"/>
    <s v="MacKenzie"/>
    <n v="221380114"/>
    <s v="ahorros"/>
    <n v="99364.22"/>
    <d v="2025-06-16T00:00:00"/>
    <d v="2016-08-04T00:00:00"/>
    <s v="PITTSFIELD"/>
    <s v="Poste du Lac"/>
    <n v="13"/>
    <s v="Activo"/>
    <n v="391.54820000000001"/>
    <n v="254"/>
    <x v="0"/>
  </r>
  <r>
    <n v="308"/>
    <s v="Zeb"/>
    <s v="Nelthrop"/>
    <n v="226071237"/>
    <s v="ahorros"/>
    <n v="22688.78"/>
    <d v="2023-08-23T00:00:00"/>
    <d v="2016-09-08T00:00:00"/>
    <s v="READING"/>
    <s v="Masaran"/>
    <n v="676"/>
    <s v="Inactivo"/>
    <n v="350.40350000000001"/>
    <n v="65"/>
    <x v="1"/>
  </r>
  <r>
    <n v="309"/>
    <s v="Noelyn"/>
    <s v="Boutcher"/>
    <n v="51401836"/>
    <s v="ahorros"/>
    <n v="55817.8"/>
    <d v="2022-07-24T00:00:00"/>
    <d v="2017-09-30T00:00:00"/>
    <s v="RALEIGH"/>
    <s v="Charlesland"/>
    <n v="1071"/>
    <s v="Inactivo"/>
    <n v="310.98360000000002"/>
    <n v="179"/>
    <x v="1"/>
  </r>
  <r>
    <n v="310"/>
    <s v="Astrix"/>
    <s v="Hardware"/>
    <n v="62200961"/>
    <s v="corriente"/>
    <n v="53954.76"/>
    <d v="2020-01-17T00:00:00"/>
    <d v="2016-08-18T00:00:00"/>
    <s v="TALLADEGA"/>
    <s v="Yemva"/>
    <n v="1990"/>
    <s v="Inactivo"/>
    <n v="270.88959999999997"/>
    <n v="199"/>
    <x v="1"/>
  </r>
  <r>
    <n v="311"/>
    <s v="Shina"/>
    <s v="Bosson"/>
    <n v="63107610"/>
    <s v="corriente"/>
    <n v="150541.13"/>
    <d v="2020-09-25T00:00:00"/>
    <d v="2017-03-25T00:00:00"/>
    <s v="RICHMOND"/>
    <s v="Fermelã"/>
    <n v="1738"/>
    <s v="Inactivo"/>
    <n v="274.58080000000001"/>
    <n v="548"/>
    <x v="0"/>
  </r>
  <r>
    <n v="312"/>
    <s v="Martainn"/>
    <s v="Pinwell"/>
    <n v="67016040"/>
    <s v="corriente"/>
    <n v="97127.21"/>
    <d v="2022-02-21T00:00:00"/>
    <d v="2016-04-04T00:00:00"/>
    <s v="FT. LAUDERDALE"/>
    <s v="Ngangguk"/>
    <n v="1224"/>
    <s v="Inactivo"/>
    <n v="292.46460000000002"/>
    <n v="332"/>
    <x v="0"/>
  </r>
  <r>
    <n v="313"/>
    <s v="Ethyl"/>
    <s v="Boggs"/>
    <n v="274970063"/>
    <s v="ahorros"/>
    <n v="70818.09"/>
    <d v="2020-12-07T00:00:00"/>
    <d v="2016-09-15T00:00:00"/>
    <s v="CINCINNATI"/>
    <s v="Sīlat al Ḩārithīyah"/>
    <n v="1665"/>
    <s v="Inactivo"/>
    <n v="275.31990000000002"/>
    <n v="257"/>
    <x v="1"/>
  </r>
  <r>
    <n v="314"/>
    <s v="Cate"/>
    <s v="Scotchmore"/>
    <n v="91204899"/>
    <s v="corriente"/>
    <n v="99702"/>
    <d v="2025-01-04T00:00:00"/>
    <d v="2018-06-26T00:00:00"/>
    <s v="BATTLE LAKE"/>
    <s v="Celorico de Basto"/>
    <n v="176"/>
    <s v="Activo"/>
    <n v="376.9074"/>
    <n v="265"/>
    <x v="0"/>
  </r>
  <r>
    <n v="315"/>
    <s v="Cthrine"/>
    <s v="Whife"/>
    <n v="11300142"/>
    <s v="ahorros"/>
    <n v="15074.97"/>
    <d v="2021-05-12T00:00:00"/>
    <d v="2017-07-04T00:00:00"/>
    <s v="WORCESTER"/>
    <s v="Buta Ranquil"/>
    <n v="1509"/>
    <s v="Inactivo"/>
    <n v="280.09100000000001"/>
    <n v="54"/>
    <x v="1"/>
  </r>
  <r>
    <n v="316"/>
    <s v="Rivy"/>
    <s v="Taffurelli"/>
    <n v="55001054"/>
    <s v="ahorros"/>
    <n v="151176.85999999999"/>
    <d v="2020-11-04T00:00:00"/>
    <d v="2016-05-11T00:00:00"/>
    <s v="PITTSBURGH"/>
    <s v="Naples"/>
    <n v="1698"/>
    <s v="Inactivo"/>
    <n v="275.12900000000002"/>
    <n v="549"/>
    <x v="0"/>
  </r>
  <r>
    <n v="317"/>
    <s v="Franciskus"/>
    <s v="Dumphry"/>
    <n v="111926086"/>
    <s v="ahorros"/>
    <n v="27659.67"/>
    <d v="2022-03-06T00:00:00"/>
    <d v="2017-11-22T00:00:00"/>
    <s v="WACO"/>
    <s v="Parakou"/>
    <n v="1211"/>
    <s v="Inactivo"/>
    <n v="294.72219999999999"/>
    <n v="94"/>
    <x v="1"/>
  </r>
  <r>
    <n v="318"/>
    <s v="Dale"/>
    <s v="Beveridge"/>
    <n v="11307116"/>
    <s v="corriente"/>
    <n v="209831.72"/>
    <d v="2025-05-12T00:00:00"/>
    <d v="2017-03-03T00:00:00"/>
    <s v="SOUTH WINDSOR"/>
    <s v="Úštěk"/>
    <n v="48"/>
    <s v="Activo"/>
    <n v="388.73790000000002"/>
    <n v="540"/>
    <x v="0"/>
  </r>
  <r>
    <n v="319"/>
    <s v="Leroi"/>
    <s v="Kroin"/>
    <n v="21202175"/>
    <s v="corriente"/>
    <n v="122853.92"/>
    <d v="2025-02-10T00:00:00"/>
    <d v="2016-05-14T00:00:00"/>
    <s v="MINNEAPOLIS"/>
    <s v="Dajanrurung"/>
    <n v="139"/>
    <s v="Activo"/>
    <n v="378.72320000000002"/>
    <n v="324"/>
    <x v="0"/>
  </r>
  <r>
    <n v="320"/>
    <s v="Tonnie"/>
    <s v="Tomeo"/>
    <n v="81211928"/>
    <s v="ahorros"/>
    <n v="210588.03"/>
    <d v="2020-09-09T00:00:00"/>
    <d v="2016-12-01T00:00:00"/>
    <s v="BROWNSTOWN"/>
    <s v="Ouaoula"/>
    <n v="1754"/>
    <s v="Inactivo"/>
    <n v="274.58999999999997"/>
    <n v="767"/>
    <x v="0"/>
  </r>
  <r>
    <n v="321"/>
    <s v="Naoma"/>
    <s v="Streeting"/>
    <n v="42107738"/>
    <s v="corriente"/>
    <n v="137821.21"/>
    <d v="2022-03-01T00:00:00"/>
    <d v="2016-11-29T00:00:00"/>
    <s v="BOONEVILLE"/>
    <s v="Bueng Kum"/>
    <n v="1216"/>
    <s v="Inactivo"/>
    <n v="293.8519"/>
    <n v="469"/>
    <x v="0"/>
  </r>
  <r>
    <n v="322"/>
    <s v="Byron"/>
    <s v="Farrans"/>
    <n v="91000080"/>
    <s v="corriente"/>
    <n v="160907.1"/>
    <d v="2022-10-14T00:00:00"/>
    <d v="2017-01-30T00:00:00"/>
    <s v="MINNEAPOLIS"/>
    <s v="Kuybyshevo"/>
    <n v="989"/>
    <s v="Inactivo"/>
    <n v="317.73829999999998"/>
    <n v="506"/>
    <x v="0"/>
  </r>
  <r>
    <n v="323"/>
    <s v="Hortense"/>
    <s v="Champkins"/>
    <n v="221270758"/>
    <s v="ahorros"/>
    <n v="186507.86"/>
    <d v="2023-02-10T00:00:00"/>
    <d v="2018-02-18T00:00:00"/>
    <s v="READING"/>
    <s v="Lumbac"/>
    <n v="870"/>
    <s v="Inactivo"/>
    <n v="329.03699999999998"/>
    <n v="567"/>
    <x v="0"/>
  </r>
  <r>
    <n v="324"/>
    <s v="Fabio"/>
    <s v="Degue"/>
    <n v="53274113"/>
    <s v="ahorros"/>
    <n v="12916.72"/>
    <d v="2020-07-31T00:00:00"/>
    <d v="2018-04-24T00:00:00"/>
    <s v="N. CHAS"/>
    <s v="Parigi"/>
    <n v="1794"/>
    <s v="Inactivo"/>
    <n v="275.09629999999999"/>
    <n v="47"/>
    <x v="1"/>
  </r>
  <r>
    <n v="325"/>
    <s v="Griffin"/>
    <s v="Dog"/>
    <n v="124001545"/>
    <s v="corriente"/>
    <n v="16372.33"/>
    <d v="2024-10-08T00:00:00"/>
    <d v="2017-01-11T00:00:00"/>
    <s v="TAMPA"/>
    <s v="Valado dos Frades"/>
    <n v="264"/>
    <s v="Activo"/>
    <n v="375.84010000000001"/>
    <n v="44"/>
    <x v="0"/>
  </r>
  <r>
    <n v="326"/>
    <s v="Vernice"/>
    <s v="Chadd"/>
    <n v="114000776"/>
    <s v="corriente"/>
    <n v="193273.01"/>
    <d v="2024-05-29T00:00:00"/>
    <d v="2016-05-30T00:00:00"/>
    <s v="TAMPA"/>
    <s v="San Agustin"/>
    <n v="396"/>
    <s v="Inactivo"/>
    <n v="371.09350000000001"/>
    <n v="521"/>
    <x v="0"/>
  </r>
  <r>
    <n v="327"/>
    <s v="Elihu"/>
    <s v="Haynes"/>
    <n v="62104203"/>
    <s v="corriente"/>
    <n v="27135.52"/>
    <d v="2023-05-07T00:00:00"/>
    <d v="2018-08-13T00:00:00"/>
    <s v="JACKSON"/>
    <s v="Pākpattan"/>
    <n v="784"/>
    <s v="Inactivo"/>
    <n v="343.7645"/>
    <n v="79"/>
    <x v="1"/>
  </r>
  <r>
    <n v="328"/>
    <s v="Dave"/>
    <s v="Tumelty"/>
    <n v="72401789"/>
    <s v="corriente"/>
    <n v="45052.92"/>
    <d v="2022-08-12T00:00:00"/>
    <d v="2016-12-03T00:00:00"/>
    <s v="MIDLAND"/>
    <s v="Sarilhos Grandes"/>
    <n v="1052"/>
    <s v="Inactivo"/>
    <n v="311.95479999999998"/>
    <n v="144"/>
    <x v="1"/>
  </r>
  <r>
    <n v="329"/>
    <s v="Linette"/>
    <s v="Spearing"/>
    <n v="104903362"/>
    <s v="ahorros"/>
    <n v="174017.35"/>
    <d v="2020-08-09T00:00:00"/>
    <d v="2018-07-14T00:00:00"/>
    <s v="MILFORD"/>
    <s v="Villa Nueva"/>
    <n v="1785"/>
    <s v="Inactivo"/>
    <n v="274.79239999999999"/>
    <n v="633"/>
    <x v="0"/>
  </r>
  <r>
    <n v="330"/>
    <s v="Bertha"/>
    <s v="Timewell"/>
    <n v="91409571"/>
    <s v="ahorros"/>
    <n v="12736.34"/>
    <d v="2022-02-25T00:00:00"/>
    <d v="2017-10-27T00:00:00"/>
    <s v="NEW CASTLE"/>
    <s v="Misungwi"/>
    <n v="1220"/>
    <s v="Inactivo"/>
    <n v="293.1574"/>
    <n v="43"/>
    <x v="1"/>
  </r>
  <r>
    <n v="331"/>
    <s v="Jeni"/>
    <s v="Turfs"/>
    <n v="113001077"/>
    <s v="corriente"/>
    <n v="27803.17"/>
    <d v="2022-12-07T00:00:00"/>
    <d v="2016-08-18T00:00:00"/>
    <s v="HOUSTON"/>
    <s v="Jichang"/>
    <n v="935"/>
    <s v="Inactivo"/>
    <n v="322.49400000000003"/>
    <n v="86"/>
    <x v="1"/>
  </r>
  <r>
    <n v="332"/>
    <s v="Cecilius"/>
    <s v="Heel"/>
    <n v="71100324"/>
    <s v="ahorros"/>
    <n v="130524.95"/>
    <d v="2022-07-27T00:00:00"/>
    <d v="2016-06-02T00:00:00"/>
    <s v="CLEVELAND"/>
    <s v="Złota"/>
    <n v="1068"/>
    <s v="Inactivo"/>
    <n v="311.13679999999999"/>
    <n v="420"/>
    <x v="0"/>
  </r>
  <r>
    <n v="333"/>
    <s v="Jens"/>
    <s v="Haet"/>
    <n v="82904043"/>
    <s v="ahorros"/>
    <n v="109567.93"/>
    <d v="2024-04-11T00:00:00"/>
    <d v="2018-03-06T00:00:00"/>
    <s v="MENA"/>
    <s v="Lesuhe"/>
    <n v="444"/>
    <s v="Inactivo"/>
    <n v="367.0224"/>
    <n v="299"/>
    <x v="1"/>
  </r>
  <r>
    <n v="334"/>
    <s v="Fawne"/>
    <s v="MacKellar"/>
    <n v="114922430"/>
    <s v="ahorros"/>
    <n v="158074.41"/>
    <d v="2023-04-07T00:00:00"/>
    <d v="2018-11-10T00:00:00"/>
    <s v="JUNCTION"/>
    <s v="Nossa Senhora da Glória"/>
    <n v="814"/>
    <s v="Inactivo"/>
    <n v="339.69499999999999"/>
    <n v="465"/>
    <x v="0"/>
  </r>
  <r>
    <n v="335"/>
    <s v="Townie"/>
    <s v="Smouten"/>
    <n v="103000703"/>
    <s v="ahorros"/>
    <n v="187960.47"/>
    <d v="2025-02-15T00:00:00"/>
    <d v="2017-09-13T00:00:00"/>
    <s v="KINGFISHER"/>
    <s v="Sundbyberg"/>
    <n v="134"/>
    <s v="Activo"/>
    <n v="379.00360000000001"/>
    <n v="496"/>
    <x v="0"/>
  </r>
  <r>
    <n v="336"/>
    <s v="Analise"/>
    <s v="Matterface"/>
    <n v="72404841"/>
    <s v="corriente"/>
    <n v="109148.99"/>
    <d v="2023-05-05T00:00:00"/>
    <d v="2018-01-09T00:00:00"/>
    <s v="CINCINNATI"/>
    <s v="Vođinci"/>
    <n v="786"/>
    <s v="Inactivo"/>
    <n v="343.52519999999998"/>
    <n v="318"/>
    <x v="1"/>
  </r>
  <r>
    <n v="337"/>
    <s v="Charmion"/>
    <s v="Wawer"/>
    <n v="21308817"/>
    <s v="ahorros"/>
    <n v="154458.32"/>
    <d v="2021-01-17T00:00:00"/>
    <d v="2016-03-02T00:00:00"/>
    <s v="CANTON"/>
    <s v="Passo Fundo"/>
    <n v="1624"/>
    <s v="Inactivo"/>
    <n v="274.93020000000001"/>
    <n v="562"/>
    <x v="0"/>
  </r>
  <r>
    <n v="338"/>
    <s v="Harriet"/>
    <s v="Fleeming"/>
    <n v="83901825"/>
    <s v="ahorros"/>
    <n v="143596.53"/>
    <d v="2020-07-02T00:00:00"/>
    <d v="2018-09-05T00:00:00"/>
    <s v="FRANKFORT"/>
    <s v="Pechora"/>
    <n v="1823"/>
    <s v="Inactivo"/>
    <n v="276.02050000000003"/>
    <n v="520"/>
    <x v="0"/>
  </r>
  <r>
    <n v="339"/>
    <s v="Rochella"/>
    <s v="Corten"/>
    <n v="252070309"/>
    <s v="ahorros"/>
    <n v="134124.10999999999"/>
    <d v="2025-01-30T00:00:00"/>
    <d v="2017-12-06T00:00:00"/>
    <s v="WILSON"/>
    <s v="Mandapajaya"/>
    <n v="150"/>
    <s v="Activo"/>
    <n v="378.1069"/>
    <n v="355"/>
    <x v="0"/>
  </r>
  <r>
    <n v="340"/>
    <s v="Kit"/>
    <s v="Bitterton"/>
    <n v="75910882"/>
    <s v="corriente"/>
    <n v="190621.53"/>
    <d v="2022-06-25T00:00:00"/>
    <d v="2017-08-14T00:00:00"/>
    <s v="NAPERVILLE"/>
    <s v="Fahraj"/>
    <n v="1100"/>
    <s v="Inactivo"/>
    <n v="308.7978"/>
    <n v="617"/>
    <x v="0"/>
  </r>
  <r>
    <n v="341"/>
    <s v="Shandra"/>
    <s v="Bertot"/>
    <n v="64202844"/>
    <s v="ahorros"/>
    <n v="41667.86"/>
    <d v="2020-11-26T00:00:00"/>
    <d v="2016-05-14T00:00:00"/>
    <s v="MOUNTAIN CITY"/>
    <s v="Bāglung"/>
    <n v="1676"/>
    <s v="Inactivo"/>
    <n v="275.38049999999998"/>
    <n v="151"/>
    <x v="1"/>
  </r>
  <r>
    <n v="342"/>
    <s v="Cathee"/>
    <s v="Ferrer"/>
    <n v="221572838"/>
    <s v="ahorros"/>
    <n v="182616.45"/>
    <d v="2023-01-28T00:00:00"/>
    <d v="2016-06-01T00:00:00"/>
    <s v="SAN JUAN"/>
    <s v="Villa Carlos Paz"/>
    <n v="883"/>
    <s v="Inactivo"/>
    <n v="327.31380000000001"/>
    <n v="558"/>
    <x v="0"/>
  </r>
  <r>
    <n v="343"/>
    <s v="Joy"/>
    <s v="Lowen"/>
    <n v="113010217"/>
    <s v="corriente"/>
    <n v="62688.74"/>
    <d v="2023-12-31T00:00:00"/>
    <d v="2016-04-22T00:00:00"/>
    <s v="KILLEEN"/>
    <s v="Kovářov"/>
    <n v="546"/>
    <s v="Inactivo"/>
    <n v="357.8322"/>
    <n v="175"/>
    <x v="1"/>
  </r>
  <r>
    <n v="344"/>
    <s v="Fitzgerald"/>
    <s v="Rowaszkiewicz"/>
    <n v="83900619"/>
    <s v="corriente"/>
    <n v="82691.98"/>
    <d v="2023-02-05T00:00:00"/>
    <d v="2018-06-02T00:00:00"/>
    <s v="FRANKFORT"/>
    <s v="Shihuajian"/>
    <n v="875"/>
    <s v="Inactivo"/>
    <n v="328.37310000000002"/>
    <n v="252"/>
    <x v="1"/>
  </r>
  <r>
    <n v="345"/>
    <s v="Nathalie"/>
    <s v="Horsfield"/>
    <n v="31304720"/>
    <s v="ahorros"/>
    <n v="102814.26"/>
    <d v="2023-02-17T00:00:00"/>
    <d v="2016-12-03T00:00:00"/>
    <s v="AMHERST"/>
    <s v="Maoqitun"/>
    <n v="863"/>
    <s v="Inactivo"/>
    <n v="330.11799999999999"/>
    <n v="311"/>
    <x v="1"/>
  </r>
  <r>
    <n v="346"/>
    <s v="Florinda"/>
    <s v="Chamberlaine"/>
    <n v="91904267"/>
    <s v="corriente"/>
    <n v="51783.57"/>
    <d v="2020-09-11T00:00:00"/>
    <d v="2016-03-18T00:00:00"/>
    <s v="LE CENTER"/>
    <s v="Ust’-Ulagan"/>
    <n v="1752"/>
    <s v="Inactivo"/>
    <n v="274.58999999999997"/>
    <n v="189"/>
    <x v="1"/>
  </r>
  <r>
    <n v="347"/>
    <s v="Leontyne"/>
    <s v="Menlow"/>
    <n v="122233645"/>
    <s v="ahorros"/>
    <n v="168840.75"/>
    <d v="2021-10-19T00:00:00"/>
    <d v="2018-10-03T00:00:00"/>
    <s v="LOS ANGELES"/>
    <s v="Eira da Pedra"/>
    <n v="1349"/>
    <s v="Inactivo"/>
    <n v="286.899"/>
    <n v="589"/>
    <x v="0"/>
  </r>
  <r>
    <n v="348"/>
    <s v="Linette"/>
    <s v="Alenikov"/>
    <n v="101003773"/>
    <s v="ahorros"/>
    <n v="128962.54"/>
    <d v="2021-02-05T00:00:00"/>
    <d v="2018-02-23T00:00:00"/>
    <s v="RAYMORE"/>
    <s v="København"/>
    <n v="1605"/>
    <s v="Inactivo"/>
    <n v="275.57"/>
    <n v="468"/>
    <x v="0"/>
  </r>
  <r>
    <n v="349"/>
    <s v="Alysa"/>
    <s v="Goreway"/>
    <n v="63014499"/>
    <s v="ahorros"/>
    <n v="31043.81"/>
    <d v="2024-03-25T00:00:00"/>
    <d v="2017-03-10T00:00:00"/>
    <s v="MOULTRIE"/>
    <s v="Lunel"/>
    <n v="461"/>
    <s v="Inactivo"/>
    <n v="364.84690000000001"/>
    <n v="85"/>
    <x v="1"/>
  </r>
  <r>
    <n v="350"/>
    <s v="Joachim"/>
    <s v="Seven"/>
    <n v="91810623"/>
    <s v="ahorros"/>
    <n v="87457.36"/>
    <d v="2023-02-16T00:00:00"/>
    <d v="2018-08-02T00:00:00"/>
    <s v="HAYWARD"/>
    <s v="Pasarkayu"/>
    <n v="864"/>
    <s v="Inactivo"/>
    <n v="329.91"/>
    <n v="265"/>
    <x v="1"/>
  </r>
  <r>
    <n v="351"/>
    <s v="Adela"/>
    <s v="Portingale"/>
    <n v="107006091"/>
    <s v="ahorros"/>
    <n v="119627.98"/>
    <d v="2022-03-04T00:00:00"/>
    <d v="2016-05-12T00:00:00"/>
    <s v="LAKEWOOD"/>
    <s v="Tarata"/>
    <n v="1213"/>
    <s v="Inactivo"/>
    <n v="294.37380000000002"/>
    <n v="406"/>
    <x v="0"/>
  </r>
  <r>
    <n v="352"/>
    <s v="Trudy"/>
    <s v="Heaffey"/>
    <n v="67001699"/>
    <s v="ahorros"/>
    <n v="34114.22"/>
    <d v="2021-03-13T00:00:00"/>
    <d v="2017-05-19T00:00:00"/>
    <s v="WAYNE"/>
    <s v="Nong Phok"/>
    <n v="1569"/>
    <s v="Inactivo"/>
    <n v="276.95769999999999"/>
    <n v="123"/>
    <x v="1"/>
  </r>
  <r>
    <n v="353"/>
    <s v="Jena"/>
    <s v="Bolan"/>
    <n v="111904231"/>
    <s v="corriente"/>
    <n v="75808.09"/>
    <d v="2023-05-04T00:00:00"/>
    <d v="2018-09-20T00:00:00"/>
    <s v="SAN SABA"/>
    <s v="San Francisco"/>
    <n v="787"/>
    <s v="Inactivo"/>
    <n v="343.40559999999999"/>
    <n v="221"/>
    <x v="1"/>
  </r>
  <r>
    <n v="354"/>
    <s v="Myrah"/>
    <s v="Laxon"/>
    <n v="21206676"/>
    <s v="ahorros"/>
    <n v="120488.55"/>
    <d v="2025-01-28T00:00:00"/>
    <d v="2018-08-02T00:00:00"/>
    <s v="READING"/>
    <s v="Gap"/>
    <n v="152"/>
    <s v="Activo"/>
    <n v="377.995"/>
    <n v="319"/>
    <x v="0"/>
  </r>
  <r>
    <n v="355"/>
    <s v="Jaine"/>
    <s v="Shearmur"/>
    <n v="64108757"/>
    <s v="corriente"/>
    <n v="180768.48"/>
    <d v="2023-03-11T00:00:00"/>
    <d v="2016-12-31T00:00:00"/>
    <s v="CINCINNATI"/>
    <s v="Santa Eulalia"/>
    <n v="841"/>
    <s v="Inactivo"/>
    <n v="334.72620000000001"/>
    <n v="540"/>
    <x v="0"/>
  </r>
  <r>
    <n v="356"/>
    <s v="Carol-jean"/>
    <s v="Burgiss"/>
    <n v="81001727"/>
    <s v="ahorros"/>
    <n v="28085.82"/>
    <d v="2023-08-27T00:00:00"/>
    <d v="2018-12-22T00:00:00"/>
    <s v="CLEVELAND"/>
    <s v="Yashiro"/>
    <n v="672"/>
    <s v="Inactivo"/>
    <n v="350.62909999999999"/>
    <n v="80"/>
    <x v="1"/>
  </r>
  <r>
    <n v="357"/>
    <s v="Robbyn"/>
    <s v="Grosier"/>
    <n v="111924800"/>
    <s v="corriente"/>
    <n v="57192.74"/>
    <d v="2023-07-28T00:00:00"/>
    <d v="2016-12-01T00:00:00"/>
    <s v="KINGFISHER"/>
    <s v="Alajuela"/>
    <n v="702"/>
    <s v="Inactivo"/>
    <n v="349.34469999999999"/>
    <n v="164"/>
    <x v="1"/>
  </r>
  <r>
    <n v="358"/>
    <s v="Stephannie"/>
    <s v="Hutchens"/>
    <n v="113007835"/>
    <s v="ahorros"/>
    <n v="147585.45000000001"/>
    <d v="2021-11-23T00:00:00"/>
    <d v="2017-08-22T00:00:00"/>
    <s v="ROSEMONT"/>
    <s v="Chuangwang"/>
    <n v="1314"/>
    <s v="Inactivo"/>
    <n v="287.85599999999999"/>
    <n v="513"/>
    <x v="0"/>
  </r>
  <r>
    <n v="359"/>
    <s v="Dugald"/>
    <s v="De Witt"/>
    <n v="61102701"/>
    <s v="corriente"/>
    <n v="116575.1"/>
    <d v="2022-06-27T00:00:00"/>
    <d v="2016-03-06T00:00:00"/>
    <s v="BLAIRSVILLE"/>
    <s v="Xiashan"/>
    <n v="1098"/>
    <s v="Inactivo"/>
    <n v="308.9701"/>
    <n v="377"/>
    <x v="0"/>
  </r>
  <r>
    <n v="360"/>
    <s v="Jenelle"/>
    <s v="Harding"/>
    <n v="251472555"/>
    <s v="corriente"/>
    <n v="130134.11"/>
    <d v="2024-10-13T00:00:00"/>
    <d v="2017-03-04T00:00:00"/>
    <s v="RUTHER GLEN"/>
    <s v="Várzea"/>
    <n v="259"/>
    <s v="Activo"/>
    <n v="375.84010000000001"/>
    <n v="346"/>
    <x v="0"/>
  </r>
  <r>
    <n v="361"/>
    <s v="Eliza"/>
    <s v="Zanicchelli"/>
    <n v="103110813"/>
    <s v="corriente"/>
    <n v="136044.35"/>
    <d v="2020-10-09T00:00:00"/>
    <d v="2016-05-13T00:00:00"/>
    <s v="COMMERCE"/>
    <s v="Néos Skopós"/>
    <n v="1724"/>
    <s v="Inactivo"/>
    <n v="274.56799999999998"/>
    <n v="495"/>
    <x v="0"/>
  </r>
  <r>
    <n v="362"/>
    <s v="Gratiana"/>
    <s v="Marcinkowski"/>
    <n v="67001699"/>
    <s v="ahorros"/>
    <n v="118165.12"/>
    <d v="2023-08-07T00:00:00"/>
    <d v="2017-10-16T00:00:00"/>
    <s v="WAYNE"/>
    <s v="Cipanjang"/>
    <n v="692"/>
    <s v="Inactivo"/>
    <n v="349.68239999999997"/>
    <n v="338"/>
    <x v="0"/>
  </r>
  <r>
    <n v="363"/>
    <s v="Pren"/>
    <s v="Sudddard"/>
    <n v="104913048"/>
    <s v="ahorros"/>
    <n v="60600.75"/>
    <d v="2024-06-22T00:00:00"/>
    <d v="2017-08-02T00:00:00"/>
    <s v="DAVID CITY"/>
    <s v="Notsé"/>
    <n v="372"/>
    <s v="Inactivo"/>
    <n v="372.66539999999998"/>
    <n v="163"/>
    <x v="1"/>
  </r>
  <r>
    <n v="364"/>
    <s v="Tristan"/>
    <s v="Wozencraft"/>
    <n v="114916019"/>
    <s v="ahorros"/>
    <n v="76243.7"/>
    <d v="2021-05-17T00:00:00"/>
    <d v="2018-02-27T00:00:00"/>
    <s v="HEBBRONVILLE"/>
    <s v="Pingtian"/>
    <n v="1504"/>
    <s v="Inactivo"/>
    <n v="280.3399"/>
    <n v="272"/>
    <x v="1"/>
  </r>
  <r>
    <n v="365"/>
    <s v="Shoshanna"/>
    <s v="Chittey"/>
    <n v="274970801"/>
    <s v="ahorros"/>
    <n v="97452.9"/>
    <d v="2021-09-19T00:00:00"/>
    <d v="2018-09-13T00:00:00"/>
    <s v="NAPERVILLE"/>
    <s v="Quibal"/>
    <n v="1379"/>
    <s v="Inactivo"/>
    <n v="285.64499999999998"/>
    <n v="341"/>
    <x v="0"/>
  </r>
  <r>
    <n v="366"/>
    <s v="Tobin"/>
    <s v="Venediktov"/>
    <n v="61092691"/>
    <s v="ahorros"/>
    <n v="214934.15"/>
    <d v="2024-11-24T00:00:00"/>
    <d v="2016-11-29T00:00:00"/>
    <s v="MACON"/>
    <s v="Leles"/>
    <n v="217"/>
    <s v="Activo"/>
    <n v="376.5951"/>
    <n v="571"/>
    <x v="0"/>
  </r>
  <r>
    <n v="367"/>
    <s v="Fern"/>
    <s v="Spread"/>
    <n v="82900429"/>
    <s v="corriente"/>
    <n v="74500.05"/>
    <d v="2024-03-31T00:00:00"/>
    <d v="2018-11-25T00:00:00"/>
    <s v="RICHMOND"/>
    <s v="Edissiya"/>
    <n v="455"/>
    <s v="Inactivo"/>
    <n v="365.61320000000001"/>
    <n v="204"/>
    <x v="1"/>
  </r>
  <r>
    <n v="368"/>
    <s v="Kayley"/>
    <s v="Main"/>
    <n v="113105070"/>
    <s v="corriente"/>
    <n v="95789.46"/>
    <d v="2021-07-09T00:00:00"/>
    <d v="2016-08-04T00:00:00"/>
    <s v="CENTER"/>
    <s v="Tivat"/>
    <n v="1451"/>
    <s v="Inactivo"/>
    <n v="284.1397"/>
    <n v="337"/>
    <x v="0"/>
  </r>
  <r>
    <n v="369"/>
    <s v="Piper"/>
    <s v="Gockeler"/>
    <n v="107004637"/>
    <s v="ahorros"/>
    <n v="169510.49"/>
    <d v="2023-10-14T00:00:00"/>
    <d v="2017-09-21T00:00:00"/>
    <s v="LAKEWOOD"/>
    <s v="Savonranta"/>
    <n v="624"/>
    <s v="Inactivo"/>
    <n v="354.0822"/>
    <n v="479"/>
    <x v="0"/>
  </r>
  <r>
    <n v="370"/>
    <s v="Darwin"/>
    <s v="Jarville"/>
    <n v="104901911"/>
    <s v="corriente"/>
    <n v="202444.38"/>
    <d v="2024-01-08T00:00:00"/>
    <d v="2017-03-01T00:00:00"/>
    <s v="ASHLAND"/>
    <s v="Balibagan Oeste"/>
    <n v="538"/>
    <s v="Inactivo"/>
    <n v="358.2654"/>
    <n v="565"/>
    <x v="0"/>
  </r>
  <r>
    <n v="371"/>
    <s v="Lexy"/>
    <s v="Heinzler"/>
    <n v="91215927"/>
    <s v="ahorros"/>
    <n v="166376.85"/>
    <d v="2020-03-05T00:00:00"/>
    <d v="2018-02-13T00:00:00"/>
    <s v="ST. PAUL"/>
    <s v="Munturkaju"/>
    <n v="1942"/>
    <s v="Inactivo"/>
    <n v="272.29509999999999"/>
    <n v="611"/>
    <x v="0"/>
  </r>
  <r>
    <n v="372"/>
    <s v="Yvette"/>
    <s v="Tedahl"/>
    <n v="61092332"/>
    <s v="ahorros"/>
    <n v="137078.92000000001"/>
    <d v="2023-07-28T00:00:00"/>
    <d v="2018-01-29T00:00:00"/>
    <s v="ATLANTA"/>
    <s v="Yashao"/>
    <n v="702"/>
    <s v="Inactivo"/>
    <n v="349.34469999999999"/>
    <n v="392"/>
    <x v="0"/>
  </r>
  <r>
    <n v="373"/>
    <s v="Derick"/>
    <s v="Twitty"/>
    <n v="101002949"/>
    <s v="ahorros"/>
    <n v="67541.240000000005"/>
    <d v="2022-10-20T00:00:00"/>
    <d v="2018-06-10T00:00:00"/>
    <s v="KANSAS CITY"/>
    <s v="Jielong"/>
    <n v="983"/>
    <s v="Inactivo"/>
    <n v="318.32069999999999"/>
    <n v="212"/>
    <x v="1"/>
  </r>
  <r>
    <n v="374"/>
    <s v="Kristine"/>
    <s v="Millea"/>
    <n v="122401781"/>
    <s v="ahorros"/>
    <n v="144580.44"/>
    <d v="2023-04-08T00:00:00"/>
    <d v="2018-07-14T00:00:00"/>
    <s v="ST PAUL"/>
    <s v="Cheping"/>
    <n v="813"/>
    <s v="Inactivo"/>
    <n v="339.87549999999999"/>
    <n v="425"/>
    <x v="0"/>
  </r>
  <r>
    <n v="375"/>
    <s v="Glenden"/>
    <s v="Hulkes"/>
    <n v="82901460"/>
    <s v="corriente"/>
    <n v="138835.4"/>
    <d v="2020-05-22T00:00:00"/>
    <d v="2017-02-23T00:00:00"/>
    <s v="DEQUEEN"/>
    <s v="Santa Inês"/>
    <n v="1864"/>
    <s v="Inactivo"/>
    <n v="276.18029999999999"/>
    <n v="503"/>
    <x v="0"/>
  </r>
  <r>
    <n v="376"/>
    <s v="Brigitta"/>
    <s v="Bristoe"/>
    <n v="104913912"/>
    <s v="ahorros"/>
    <n v="46372.42"/>
    <d v="2023-03-07T00:00:00"/>
    <d v="2018-08-03T00:00:00"/>
    <s v="GRETNA"/>
    <s v="Daji"/>
    <n v="845"/>
    <s v="Inactivo"/>
    <n v="333.88350000000003"/>
    <n v="139"/>
    <x v="1"/>
  </r>
  <r>
    <n v="377"/>
    <s v="Jacquenetta"/>
    <s v="Assad"/>
    <n v="242272816"/>
    <s v="ahorros"/>
    <n v="121848.3"/>
    <d v="2020-06-15T00:00:00"/>
    <d v="2016-08-31T00:00:00"/>
    <s v="WHEELING"/>
    <s v="Shibetsu"/>
    <n v="1840"/>
    <s v="Inactivo"/>
    <n v="276.52229999999997"/>
    <n v="441"/>
    <x v="0"/>
  </r>
  <r>
    <n v="378"/>
    <s v="Cosme"/>
    <s v="Wabb"/>
    <n v="67014123"/>
    <s v="ahorros"/>
    <n v="34997.370000000003"/>
    <d v="2021-11-16T00:00:00"/>
    <d v="2018-10-07T00:00:00"/>
    <s v="LAFAYETTE"/>
    <s v="Buerarema"/>
    <n v="1321"/>
    <s v="Inactivo"/>
    <n v="287.84930000000003"/>
    <n v="122"/>
    <x v="1"/>
  </r>
  <r>
    <n v="379"/>
    <s v="Lyndell"/>
    <s v="Garrish"/>
    <n v="75902065"/>
    <s v="corriente"/>
    <n v="67523.87"/>
    <d v="2020-05-23T00:00:00"/>
    <d v="2018-11-21T00:00:00"/>
    <s v="NAPERVILLE"/>
    <s v="Masindi"/>
    <n v="1863"/>
    <s v="Inactivo"/>
    <n v="276.19450000000001"/>
    <n v="244"/>
    <x v="1"/>
  </r>
  <r>
    <n v="380"/>
    <s v="Shirleen"/>
    <s v="Crinidge"/>
    <n v="101101662"/>
    <s v="ahorros"/>
    <n v="131269.32"/>
    <d v="2022-01-23T00:00:00"/>
    <d v="2016-01-25T00:00:00"/>
    <s v="PRATT"/>
    <s v="Kwolla"/>
    <n v="1253"/>
    <s v="Inactivo"/>
    <n v="289.86009999999999"/>
    <n v="453"/>
    <x v="0"/>
  </r>
  <r>
    <n v="381"/>
    <s v="Jakie"/>
    <s v="Skitteral"/>
    <n v="75000734"/>
    <s v="corriente"/>
    <n v="95175.41"/>
    <d v="2024-11-09T00:00:00"/>
    <d v="2017-10-08T00:00:00"/>
    <s v="NAPERVILLE"/>
    <s v="Bolembre"/>
    <n v="232"/>
    <s v="Activo"/>
    <n v="376.56740000000002"/>
    <n v="253"/>
    <x v="0"/>
  </r>
  <r>
    <n v="382"/>
    <s v="Padraig"/>
    <s v="Brooke"/>
    <n v="91001322"/>
    <s v="corriente"/>
    <n v="146946.31"/>
    <d v="2024-10-14T00:00:00"/>
    <d v="2016-11-06T00:00:00"/>
    <s v="BLOOMINGTON"/>
    <s v="Östersund"/>
    <n v="258"/>
    <s v="Activo"/>
    <n v="375.84010000000001"/>
    <n v="391"/>
    <x v="0"/>
  </r>
  <r>
    <n v="383"/>
    <s v="Broderick"/>
    <s v="Yankeev"/>
    <n v="55001054"/>
    <s v="ahorros"/>
    <n v="108498.2"/>
    <d v="2023-06-04T00:00:00"/>
    <d v="2016-05-08T00:00:00"/>
    <s v="PITTSBURGH"/>
    <s v="Rancho Viejo"/>
    <n v="756"/>
    <s v="Inactivo"/>
    <n v="346.45569999999998"/>
    <n v="313"/>
    <x v="1"/>
  </r>
  <r>
    <n v="384"/>
    <s v="Bernete"/>
    <s v="Curtoys"/>
    <n v="71000013"/>
    <s v="ahorros"/>
    <n v="190819.31"/>
    <d v="2022-02-23T00:00:00"/>
    <d v="2018-10-26T00:00:00"/>
    <s v="BELLEVILLE"/>
    <s v="Hokor"/>
    <n v="1222"/>
    <s v="Inactivo"/>
    <n v="292.81079999999997"/>
    <n v="652"/>
    <x v="0"/>
  </r>
  <r>
    <n v="385"/>
    <s v="Norby"/>
    <s v="Cardew"/>
    <n v="86518749"/>
    <s v="corriente"/>
    <n v="101515.78"/>
    <d v="2022-11-29T00:00:00"/>
    <d v="2016-08-04T00:00:00"/>
    <s v="TUPELO"/>
    <s v="Dadu"/>
    <n v="943"/>
    <s v="Inactivo"/>
    <n v="321.87759999999997"/>
    <n v="315"/>
    <x v="1"/>
  </r>
  <r>
    <n v="386"/>
    <s v="Shanna"/>
    <s v="Cashford"/>
    <n v="11301798"/>
    <s v="corriente"/>
    <n v="30072.79"/>
    <d v="2023-03-12T00:00:00"/>
    <d v="2018-05-07T00:00:00"/>
    <s v="LYNN"/>
    <s v="Rostov"/>
    <n v="840"/>
    <s v="Inactivo"/>
    <n v="334.93709999999999"/>
    <n v="90"/>
    <x v="1"/>
  </r>
  <r>
    <n v="387"/>
    <s v="Francklyn"/>
    <s v="Keeler"/>
    <n v="75901710"/>
    <s v="corriente"/>
    <n v="157102.68"/>
    <d v="2021-12-15T00:00:00"/>
    <d v="2016-06-04T00:00:00"/>
    <s v="NAPERVILLE"/>
    <s v="Rawuk"/>
    <n v="1292"/>
    <s v="Inactivo"/>
    <n v="287.87709999999998"/>
    <n v="546"/>
    <x v="0"/>
  </r>
  <r>
    <n v="388"/>
    <s v="Othilia"/>
    <s v="Burrells"/>
    <n v="43306855"/>
    <s v="ahorros"/>
    <n v="179037.96"/>
    <d v="2021-03-16T00:00:00"/>
    <d v="2017-02-03T00:00:00"/>
    <s v="INDIANA"/>
    <s v="Gelgaudiškis"/>
    <n v="1566"/>
    <s v="Inactivo"/>
    <n v="277.09559999999999"/>
    <n v="646"/>
    <x v="0"/>
  </r>
  <r>
    <n v="389"/>
    <s v="Berkie"/>
    <s v="Feckey"/>
    <n v="86519311"/>
    <s v="ahorros"/>
    <n v="186774.72"/>
    <d v="2021-11-29T00:00:00"/>
    <d v="2016-03-28T00:00:00"/>
    <s v="PINE BLUFF"/>
    <s v="Tangcun"/>
    <n v="1308"/>
    <s v="Inactivo"/>
    <n v="287.86169999999998"/>
    <n v="649"/>
    <x v="0"/>
  </r>
  <r>
    <n v="390"/>
    <s v="Glennie"/>
    <s v="Sarten"/>
    <n v="91201915"/>
    <s v="corriente"/>
    <n v="86232.35"/>
    <d v="2021-04-12T00:00:00"/>
    <d v="2016-04-28T00:00:00"/>
    <s v="BLUE EARTH"/>
    <s v="Bazi"/>
    <n v="1539"/>
    <s v="Inactivo"/>
    <n v="278.63959999999997"/>
    <n v="309"/>
    <x v="1"/>
  </r>
  <r>
    <n v="391"/>
    <s v="Lawton"/>
    <s v="Sclater"/>
    <n v="63015537"/>
    <s v="ahorros"/>
    <n v="17365.18"/>
    <d v="2023-10-07T00:00:00"/>
    <d v="2018-10-22T00:00:00"/>
    <s v="ATLANTA"/>
    <s v="Péfki"/>
    <n v="631"/>
    <s v="Inactivo"/>
    <n v="353.50630000000001"/>
    <n v="49"/>
    <x v="1"/>
  </r>
  <r>
    <n v="392"/>
    <s v="Rosabel"/>
    <s v="Jacquet"/>
    <n v="275071314"/>
    <s v="corriente"/>
    <n v="176621.55"/>
    <d v="2021-11-12T00:00:00"/>
    <d v="2018-09-19T00:00:00"/>
    <s v="NAPERVILLE"/>
    <s v="Yanhu"/>
    <n v="1325"/>
    <s v="Inactivo"/>
    <n v="287.74259999999998"/>
    <n v="614"/>
    <x v="0"/>
  </r>
  <r>
    <n v="393"/>
    <s v="Torie"/>
    <s v="Skeldinge"/>
    <n v="211070146"/>
    <s v="ahorros"/>
    <n v="62256.58"/>
    <d v="2024-03-30T00:00:00"/>
    <d v="2016-04-30T00:00:00"/>
    <s v="LYNN"/>
    <s v="San Antonio"/>
    <n v="456"/>
    <s v="Inactivo"/>
    <n v="365.48540000000003"/>
    <n v="170"/>
    <x v="1"/>
  </r>
  <r>
    <n v="394"/>
    <s v="Lorry"/>
    <s v="Aikenhead"/>
    <n v="91200738"/>
    <s v="ahorros"/>
    <n v="16532.2"/>
    <d v="2021-03-16T00:00:00"/>
    <d v="2016-06-18T00:00:00"/>
    <s v="CHISHOLM"/>
    <s v="Mkushi"/>
    <n v="1566"/>
    <s v="Inactivo"/>
    <n v="277.09559999999999"/>
    <n v="60"/>
    <x v="1"/>
  </r>
  <r>
    <n v="395"/>
    <s v="Marna"/>
    <s v="Lamp"/>
    <n v="65405132"/>
    <s v="corriente"/>
    <n v="56583.5"/>
    <d v="2024-08-06T00:00:00"/>
    <d v="2018-01-26T00:00:00"/>
    <s v="RICHMOND"/>
    <s v="Ccuntuma"/>
    <n v="327"/>
    <s v="Activo"/>
    <n v="374.74209999999999"/>
    <n v="151"/>
    <x v="0"/>
  </r>
  <r>
    <n v="396"/>
    <s v="Pierette"/>
    <s v="De Angelis"/>
    <n v="11401533"/>
    <s v="corriente"/>
    <n v="17547.95"/>
    <d v="2022-12-29T00:00:00"/>
    <d v="2017-02-11T00:00:00"/>
    <s v="RIVERSIDE"/>
    <s v="Kudusan"/>
    <n v="913"/>
    <s v="Inactivo"/>
    <n v="324.2328"/>
    <n v="54"/>
    <x v="1"/>
  </r>
  <r>
    <n v="397"/>
    <s v="Caleb"/>
    <s v="Sherebrooke"/>
    <n v="267090691"/>
    <s v="ahorros"/>
    <n v="114389.36"/>
    <d v="2023-06-28T00:00:00"/>
    <d v="2018-08-16T00:00:00"/>
    <s v="MIAMI"/>
    <s v="Daxing"/>
    <n v="732"/>
    <s v="Inactivo"/>
    <n v="348.05880000000002"/>
    <n v="329"/>
    <x v="0"/>
  </r>
  <r>
    <n v="398"/>
    <s v="Bear"/>
    <s v="Utteridge"/>
    <n v="56009233"/>
    <s v="corriente"/>
    <n v="138210.93"/>
    <d v="2022-01-26T00:00:00"/>
    <d v="2017-01-27T00:00:00"/>
    <s v="AMHERST"/>
    <s v="Glinojeck"/>
    <n v="1250"/>
    <s v="Inactivo"/>
    <n v="290.06420000000003"/>
    <n v="476"/>
    <x v="0"/>
  </r>
  <r>
    <n v="399"/>
    <s v="Ana"/>
    <s v="Lucas"/>
    <n v="31309385"/>
    <s v="corriente"/>
    <n v="32967.99"/>
    <d v="2023-12-13T00:00:00"/>
    <d v="2017-06-05T00:00:00"/>
    <s v="HERMITAGE"/>
    <s v="Zalaegerszeg"/>
    <n v="564"/>
    <s v="Inactivo"/>
    <n v="356.90780000000001"/>
    <n v="92"/>
    <x v="1"/>
  </r>
  <r>
    <n v="400"/>
    <s v="Barbabra"/>
    <s v="Soal"/>
    <n v="113024177"/>
    <s v="corriente"/>
    <n v="187844.62"/>
    <d v="2021-11-17T00:00:00"/>
    <d v="2016-09-19T00:00:00"/>
    <s v="JACKSON"/>
    <s v="Jinqu"/>
    <n v="1320"/>
    <s v="Inactivo"/>
    <n v="287.85019999999997"/>
    <n v="653"/>
    <x v="0"/>
  </r>
  <r>
    <n v="401"/>
    <s v="Sadie"/>
    <s v="Fairholm"/>
    <n v="42100272"/>
    <s v="ahorros"/>
    <n v="112556.93"/>
    <d v="2020-01-15T00:00:00"/>
    <d v="2017-03-30T00:00:00"/>
    <s v="CINCINNATI"/>
    <s v="Caujul"/>
    <n v="1992"/>
    <s v="Inactivo"/>
    <n v="270.8442"/>
    <n v="416"/>
    <x v="0"/>
  </r>
  <r>
    <n v="402"/>
    <s v="Rowen"/>
    <s v="Grennan"/>
    <n v="122106455"/>
    <s v="ahorros"/>
    <n v="131255.66"/>
    <d v="2021-02-02T00:00:00"/>
    <d v="2018-11-27T00:00:00"/>
    <s v="KILLEEN"/>
    <s v="Shaoha"/>
    <n v="1608"/>
    <s v="Inactivo"/>
    <n v="275.46890000000002"/>
    <n v="476"/>
    <x v="0"/>
  </r>
  <r>
    <n v="403"/>
    <s v="Genny"/>
    <s v="Spaldin"/>
    <n v="62204006"/>
    <s v="corriente"/>
    <n v="24359.91"/>
    <d v="2022-07-15T00:00:00"/>
    <d v="2016-09-01T00:00:00"/>
    <s v="STARKVILLE"/>
    <s v="Gjoçaj"/>
    <n v="1080"/>
    <s v="Inactivo"/>
    <n v="310.5247"/>
    <n v="78"/>
    <x v="1"/>
  </r>
  <r>
    <n v="404"/>
    <s v="Emogene"/>
    <s v="Gimson"/>
    <n v="123202293"/>
    <s v="corriente"/>
    <n v="62451.4"/>
    <d v="2020-05-21T00:00:00"/>
    <d v="2016-05-09T00:00:00"/>
    <s v="SPOKANE"/>
    <s v="Daduchuan"/>
    <n v="1865"/>
    <s v="Inactivo"/>
    <n v="276.166"/>
    <n v="226"/>
    <x v="1"/>
  </r>
  <r>
    <n v="405"/>
    <s v="Bob"/>
    <s v="Orys"/>
    <n v="63104215"/>
    <s v="corriente"/>
    <n v="69123.149999999994"/>
    <d v="2025-02-02T00:00:00"/>
    <d v="2016-04-24T00:00:00"/>
    <s v="RICHMOND"/>
    <s v="Huangbayi"/>
    <n v="147"/>
    <s v="Activo"/>
    <n v="378.2749"/>
    <n v="183"/>
    <x v="0"/>
  </r>
  <r>
    <n v="406"/>
    <s v="Tonie"/>
    <s v="Girauld"/>
    <n v="211470319"/>
    <s v="ahorros"/>
    <n v="140291.95000000001"/>
    <d v="2020-01-12T00:00:00"/>
    <d v="2018-09-24T00:00:00"/>
    <s v="RICHMOND"/>
    <s v="Selaphum"/>
    <n v="1995"/>
    <s v="Inactivo"/>
    <n v="270.81799999999998"/>
    <n v="518"/>
    <x v="0"/>
  </r>
  <r>
    <n v="407"/>
    <s v="Cody"/>
    <s v="Hardaker"/>
    <n v="71923543"/>
    <s v="ahorros"/>
    <n v="164466.43"/>
    <d v="2020-02-16T00:00:00"/>
    <d v="2018-01-21T00:00:00"/>
    <s v="NAPERVILLE"/>
    <s v="Punsu"/>
    <n v="1960"/>
    <s v="Inactivo"/>
    <n v="271.58760000000001"/>
    <n v="606"/>
    <x v="0"/>
  </r>
  <r>
    <n v="408"/>
    <s v="Brook"/>
    <s v="D'Ambrogio"/>
    <n v="104106583"/>
    <s v="ahorros"/>
    <n v="95216.46"/>
    <d v="2020-01-14T00:00:00"/>
    <d v="2016-07-29T00:00:00"/>
    <s v="MAYWOOD"/>
    <s v="Bussum"/>
    <n v="1993"/>
    <s v="Inactivo"/>
    <n v="270.83539999999999"/>
    <n v="352"/>
    <x v="0"/>
  </r>
  <r>
    <n v="409"/>
    <s v="Sibel"/>
    <s v="Craney"/>
    <n v="111904231"/>
    <s v="corriente"/>
    <n v="91517.11"/>
    <d v="2020-07-31T00:00:00"/>
    <d v="2018-07-10T00:00:00"/>
    <s v="SAN SABA"/>
    <s v="Ciseuseupan"/>
    <n v="1794"/>
    <s v="Inactivo"/>
    <n v="275.09629999999999"/>
    <n v="333"/>
    <x v="0"/>
  </r>
  <r>
    <n v="410"/>
    <s v="Constanta"/>
    <s v="Diplock"/>
    <n v="81001714"/>
    <s v="corriente"/>
    <n v="214916.24"/>
    <d v="2020-05-03T00:00:00"/>
    <d v="2017-08-25T00:00:00"/>
    <s v="NAPERVILLE"/>
    <s v="Banyubang"/>
    <n v="1883"/>
    <s v="Inactivo"/>
    <n v="275.45370000000003"/>
    <n v="780"/>
    <x v="0"/>
  </r>
  <r>
    <n v="411"/>
    <s v="Thorstein"/>
    <s v="Snowman"/>
    <n v="102100992"/>
    <s v="ahorros"/>
    <n v="123388.39"/>
    <d v="2022-03-25T00:00:00"/>
    <d v="2018-07-05T00:00:00"/>
    <s v="KANSAS CITY"/>
    <s v="Heshan"/>
    <n v="1192"/>
    <s v="Inactivo"/>
    <n v="297.84480000000002"/>
    <n v="414"/>
    <x v="0"/>
  </r>
  <r>
    <n v="412"/>
    <s v="Lise"/>
    <s v="Eickhoff"/>
    <n v="53207122"/>
    <s v="ahorros"/>
    <n v="194388.25"/>
    <d v="2020-09-07T00:00:00"/>
    <d v="2016-09-01T00:00:00"/>
    <s v="WALHALLA"/>
    <s v="Sibayo"/>
    <n v="1756"/>
    <s v="Inactivo"/>
    <n v="274.58999999999997"/>
    <n v="708"/>
    <x v="0"/>
  </r>
  <r>
    <n v="413"/>
    <s v="Micheil"/>
    <s v="Denison"/>
    <n v="61292433"/>
    <s v="corriente"/>
    <n v="118884.36"/>
    <d v="2020-08-31T00:00:00"/>
    <d v="2016-12-09T00:00:00"/>
    <s v="MOULTRIE"/>
    <s v="Sułoszowa"/>
    <n v="1763"/>
    <s v="Inactivo"/>
    <n v="274.58999999999997"/>
    <n v="433"/>
    <x v="0"/>
  </r>
  <r>
    <n v="414"/>
    <s v="Marielle"/>
    <s v="Terzi"/>
    <n v="73902287"/>
    <s v="corriente"/>
    <n v="89523.7"/>
    <d v="2025-02-20T00:00:00"/>
    <d v="2018-12-01T00:00:00"/>
    <s v="HOLSTEIN"/>
    <s v="Khasht’arrak"/>
    <n v="129"/>
    <s v="Activo"/>
    <n v="379.63729999999998"/>
    <n v="236"/>
    <x v="0"/>
  </r>
  <r>
    <n v="415"/>
    <s v="Minni"/>
    <s v="Yarrow"/>
    <n v="72401585"/>
    <s v="corriente"/>
    <n v="42655.77"/>
    <d v="2023-08-17T00:00:00"/>
    <d v="2017-05-04T00:00:00"/>
    <s v="CLEVELAND"/>
    <s v="Bayt Dajan"/>
    <n v="682"/>
    <s v="Inactivo"/>
    <n v="350.06540000000001"/>
    <n v="122"/>
    <x v="1"/>
  </r>
  <r>
    <n v="416"/>
    <s v="Meryl"/>
    <s v="Selburn"/>
    <n v="104106583"/>
    <s v="corriente"/>
    <n v="82345.929999999993"/>
    <d v="2023-03-27T00:00:00"/>
    <d v="2018-04-09T00:00:00"/>
    <s v="MAYWOOD"/>
    <s v="Weekaka"/>
    <n v="825"/>
    <s v="Inactivo"/>
    <n v="337.71629999999999"/>
    <n v="244"/>
    <x v="1"/>
  </r>
  <r>
    <n v="417"/>
    <s v="Lorianna"/>
    <s v="Bethell"/>
    <n v="81210398"/>
    <s v="corriente"/>
    <n v="41448.019999999997"/>
    <d v="2023-07-03T00:00:00"/>
    <d v="2017-08-03T00:00:00"/>
    <s v="HARRISBURG"/>
    <s v="Santol"/>
    <n v="727"/>
    <s v="Inactivo"/>
    <n v="348.30779999999999"/>
    <n v="119"/>
    <x v="1"/>
  </r>
  <r>
    <n v="418"/>
    <s v="Benoit"/>
    <s v="Gomersall"/>
    <n v="103103354"/>
    <s v="corriente"/>
    <n v="66595.75"/>
    <d v="2021-02-08T00:00:00"/>
    <d v="2018-06-28T00:00:00"/>
    <s v="OKARCHE"/>
    <s v="Isabela"/>
    <n v="1602"/>
    <s v="Inactivo"/>
    <n v="275.6712"/>
    <n v="242"/>
    <x v="1"/>
  </r>
  <r>
    <n v="419"/>
    <s v="Danit"/>
    <s v="Ram"/>
    <n v="111901467"/>
    <s v="ahorros"/>
    <n v="137213.87"/>
    <d v="2025-04-14T00:00:00"/>
    <d v="2018-10-25T00:00:00"/>
    <s v="GAINESVILLE"/>
    <s v="Gavrilov-Yam"/>
    <n v="76"/>
    <s v="Activo"/>
    <n v="386.786"/>
    <n v="355"/>
    <x v="0"/>
  </r>
  <r>
    <n v="420"/>
    <s v="Brittaney"/>
    <s v="Cantera"/>
    <n v="21310326"/>
    <s v="ahorros"/>
    <n v="209453.12"/>
    <d v="2025-03-27T00:00:00"/>
    <d v="2016-01-08T00:00:00"/>
    <s v="CANTON"/>
    <s v="San Bernardino"/>
    <n v="94"/>
    <s v="Activo"/>
    <n v="384.24860000000001"/>
    <n v="545"/>
    <x v="0"/>
  </r>
  <r>
    <n v="421"/>
    <s v="Rivy"/>
    <s v="Lamborne"/>
    <n v="111321270"/>
    <s v="corriente"/>
    <n v="116403.52"/>
    <d v="2023-12-01T00:00:00"/>
    <d v="2018-04-24T00:00:00"/>
    <s v="MIDLAND"/>
    <s v="Huanggexi"/>
    <n v="576"/>
    <s v="Inactivo"/>
    <n v="356.55149999999998"/>
    <n v="326"/>
    <x v="0"/>
  </r>
  <r>
    <n v="422"/>
    <s v="Felicle"/>
    <s v="Mapstone"/>
    <n v="55000657"/>
    <s v="ahorros"/>
    <n v="94633.3"/>
    <d v="2023-12-05T00:00:00"/>
    <d v="2018-06-16T00:00:00"/>
    <s v="PITTSBURGH"/>
    <s v="Patani"/>
    <n v="572"/>
    <s v="Inactivo"/>
    <n v="356.67020000000002"/>
    <n v="265"/>
    <x v="1"/>
  </r>
  <r>
    <n v="423"/>
    <s v="Talbert"/>
    <s v="Borchardt"/>
    <n v="81001387"/>
    <s v="corriente"/>
    <n v="207182.04"/>
    <d v="2022-11-30T00:00:00"/>
    <d v="2018-02-08T00:00:00"/>
    <s v="BIRMINGHAM"/>
    <s v="Täby"/>
    <n v="942"/>
    <s v="Inactivo"/>
    <n v="321.95460000000003"/>
    <n v="644"/>
    <x v="0"/>
  </r>
  <r>
    <n v="424"/>
    <s v="Field"/>
    <s v="Beels"/>
    <n v="53274168"/>
    <s v="corriente"/>
    <n v="156401.57"/>
    <d v="2023-06-06T00:00:00"/>
    <d v="2017-09-27T00:00:00"/>
    <s v="N CHAS"/>
    <s v="Nevel’"/>
    <n v="754"/>
    <s v="Inactivo"/>
    <n v="346.62950000000001"/>
    <n v="451"/>
    <x v="0"/>
  </r>
  <r>
    <n v="425"/>
    <s v="Cate"/>
    <s v="Missenden"/>
    <n v="86500634"/>
    <s v="corriente"/>
    <n v="164982.26999999999"/>
    <d v="2021-04-17T00:00:00"/>
    <d v="2018-03-18T00:00:00"/>
    <s v="JEFFERSON"/>
    <s v="Kimry"/>
    <n v="1534"/>
    <s v="Inactivo"/>
    <n v="278.90620000000001"/>
    <n v="592"/>
    <x v="0"/>
  </r>
  <r>
    <n v="426"/>
    <s v="Xena"/>
    <s v="Baggarley"/>
    <n v="262285184"/>
    <s v="ahorros"/>
    <n v="123141.78"/>
    <d v="2020-12-01T00:00:00"/>
    <d v="2016-07-11T00:00:00"/>
    <s v="PITTSBURGH"/>
    <s v="Laojiangjunjie"/>
    <n v="1671"/>
    <s v="Inactivo"/>
    <n v="275.35289999999998"/>
    <n v="447"/>
    <x v="0"/>
  </r>
  <r>
    <n v="427"/>
    <s v="Orren"/>
    <s v="France"/>
    <n v="82900429"/>
    <s v="corriente"/>
    <n v="156808.69"/>
    <d v="2022-03-28T00:00:00"/>
    <d v="2018-06-22T00:00:00"/>
    <s v="RICHMOND"/>
    <s v="Lauro de Freitas"/>
    <n v="1189"/>
    <s v="Inactivo"/>
    <n v="298.31119999999999"/>
    <n v="526"/>
    <x v="0"/>
  </r>
  <r>
    <n v="428"/>
    <s v="Lurette"/>
    <s v="Loynton"/>
    <n v="67009390"/>
    <s v="corriente"/>
    <n v="140175.39000000001"/>
    <d v="2022-10-14T00:00:00"/>
    <d v="2018-10-31T00:00:00"/>
    <s v="MIAMI"/>
    <s v="Arroio Grande"/>
    <n v="989"/>
    <s v="Inactivo"/>
    <n v="317.73829999999998"/>
    <n v="441"/>
    <x v="0"/>
  </r>
  <r>
    <n v="429"/>
    <s v="Calli"/>
    <s v="Gagen"/>
    <n v="62200783"/>
    <s v="corriente"/>
    <n v="87641.34"/>
    <d v="2024-08-28T00:00:00"/>
    <d v="2017-03-18T00:00:00"/>
    <s v="BIRMINGHAM"/>
    <s v="Xishan"/>
    <n v="305"/>
    <s v="Activo"/>
    <n v="375.40429999999998"/>
    <n v="233"/>
    <x v="0"/>
  </r>
  <r>
    <n v="430"/>
    <s v="Hillel"/>
    <s v="Coton"/>
    <n v="231372387"/>
    <s v="corriente"/>
    <n v="218738.26"/>
    <d v="2023-01-18T00:00:00"/>
    <d v="2017-07-09T00:00:00"/>
    <s v="WYOMISSING"/>
    <s v="Pines"/>
    <n v="893"/>
    <s v="Inactivo"/>
    <n v="325.99439999999998"/>
    <n v="671"/>
    <x v="0"/>
  </r>
  <r>
    <n v="431"/>
    <s v="Guillaume"/>
    <s v="Nudds"/>
    <n v="65201611"/>
    <s v="corriente"/>
    <n v="90985.83"/>
    <d v="2020-08-12T00:00:00"/>
    <d v="2018-06-30T00:00:00"/>
    <s v="NEW ORLEANS"/>
    <s v="Čoka"/>
    <n v="1782"/>
    <s v="Inactivo"/>
    <n v="274.69119999999998"/>
    <n v="331"/>
    <x v="0"/>
  </r>
  <r>
    <n v="432"/>
    <s v="Elfreda"/>
    <s v="Udie"/>
    <n v="113125380"/>
    <s v="ahorros"/>
    <n v="141085.17000000001"/>
    <d v="2023-09-12T00:00:00"/>
    <d v="2017-03-17T00:00:00"/>
    <s v="DRIPPING SPRINGS"/>
    <s v="Gunjur Kuta"/>
    <n v="656"/>
    <s v="Inactivo"/>
    <n v="351.53289999999998"/>
    <n v="401"/>
    <x v="0"/>
  </r>
  <r>
    <n v="433"/>
    <s v="Kermie"/>
    <s v="Nequest"/>
    <n v="114901859"/>
    <s v="corriente"/>
    <n v="104969.11"/>
    <d v="2021-09-23T00:00:00"/>
    <d v="2018-05-24T00:00:00"/>
    <s v="TAYLOR"/>
    <s v="Al Mālikīyah"/>
    <n v="1375"/>
    <s v="Inactivo"/>
    <n v="285.81599999999997"/>
    <n v="367"/>
    <x v="0"/>
  </r>
  <r>
    <n v="434"/>
    <s v="Minnaminnie"/>
    <s v="Ewbanche"/>
    <n v="42200279"/>
    <s v="corriente"/>
    <n v="14535.59"/>
    <d v="2023-06-06T00:00:00"/>
    <d v="2017-09-04T00:00:00"/>
    <s v="CLEVELAND"/>
    <s v="Sekampung"/>
    <n v="754"/>
    <s v="Inactivo"/>
    <n v="346.62950000000001"/>
    <n v="42"/>
    <x v="1"/>
  </r>
  <r>
    <n v="435"/>
    <s v="Marshal"/>
    <s v="Beentjes"/>
    <n v="51404118"/>
    <s v="corriente"/>
    <n v="51188.59"/>
    <d v="2023-10-06T00:00:00"/>
    <d v="2018-08-19T00:00:00"/>
    <s v="PITTSBURGH"/>
    <s v="Yaxi"/>
    <n v="632"/>
    <s v="Inactivo"/>
    <n v="353.42410000000001"/>
    <n v="145"/>
    <x v="1"/>
  </r>
  <r>
    <n v="436"/>
    <s v="Antonius"/>
    <s v="Balassa"/>
    <n v="101110543"/>
    <s v="corriente"/>
    <n v="137767.03"/>
    <d v="2021-06-06T00:00:00"/>
    <d v="2016-06-25T00:00:00"/>
    <s v="PHILLIPSBURG"/>
    <s v="Sugihwaras"/>
    <n v="1484"/>
    <s v="Inactivo"/>
    <n v="281.40589999999997"/>
    <n v="490"/>
    <x v="0"/>
  </r>
  <r>
    <n v="437"/>
    <s v="Gilles"/>
    <s v="Kubyszek"/>
    <n v="43403282"/>
    <s v="ahorros"/>
    <n v="99117.64"/>
    <d v="2022-10-19T00:00:00"/>
    <d v="2016-08-29T00:00:00"/>
    <s v="WHEELING"/>
    <s v="Gualán"/>
    <n v="984"/>
    <s v="Inactivo"/>
    <n v="318.22570000000002"/>
    <n v="311"/>
    <x v="1"/>
  </r>
  <r>
    <n v="438"/>
    <s v="Griz"/>
    <s v="Ewbanke"/>
    <n v="11301646"/>
    <s v="ahorros"/>
    <n v="106770.18"/>
    <d v="2025-03-17T00:00:00"/>
    <d v="2018-05-29T00:00:00"/>
    <s v="RICHMOND"/>
    <s v="Bartolomé Masó"/>
    <n v="104"/>
    <s v="Activo"/>
    <n v="382.84609999999998"/>
    <n v="279"/>
    <x v="0"/>
  </r>
  <r>
    <n v="439"/>
    <s v="Blondy"/>
    <s v="Minico"/>
    <n v="51501299"/>
    <s v="corriente"/>
    <n v="196534.44"/>
    <d v="2021-02-08T00:00:00"/>
    <d v="2017-12-05T00:00:00"/>
    <s v="BLUEFIELD"/>
    <s v="Jaboatão dos Guararapes"/>
    <n v="1602"/>
    <s v="Inactivo"/>
    <n v="275.6712"/>
    <n v="713"/>
    <x v="0"/>
  </r>
  <r>
    <n v="440"/>
    <s v="Salomon"/>
    <s v="Duckering"/>
    <n v="91904872"/>
    <s v="corriente"/>
    <n v="84092.71"/>
    <d v="2022-09-20T00:00:00"/>
    <d v="2016-08-14T00:00:00"/>
    <s v="HAYFIELD"/>
    <s v="Mel’nikovo"/>
    <n v="1013"/>
    <s v="Inactivo"/>
    <n v="315.16910000000001"/>
    <n v="267"/>
    <x v="1"/>
  </r>
  <r>
    <n v="441"/>
    <s v="Ettore"/>
    <s v="Raeside"/>
    <n v="62102933"/>
    <s v="corriente"/>
    <n v="178327.34"/>
    <d v="2020-03-28T00:00:00"/>
    <d v="2016-06-25T00:00:00"/>
    <s v="TUPELO"/>
    <s v="Phra Phutthabat"/>
    <n v="1919"/>
    <s v="Inactivo"/>
    <n v="273.45359999999999"/>
    <n v="652"/>
    <x v="0"/>
  </r>
  <r>
    <n v="442"/>
    <s v="Kassie"/>
    <s v="Heers"/>
    <n v="31301846"/>
    <s v="ahorros"/>
    <n v="45589.919999999998"/>
    <d v="2025-05-03T00:00:00"/>
    <d v="2018-06-30T00:00:00"/>
    <s v="HERMITAGE"/>
    <s v="Nangalimang"/>
    <n v="57"/>
    <s v="Activo"/>
    <n v="388.13350000000003"/>
    <n v="117"/>
    <x v="0"/>
  </r>
  <r>
    <n v="443"/>
    <s v="Vicky"/>
    <s v="Illing"/>
    <n v="51000017"/>
    <s v="ahorros"/>
    <n v="112932.8"/>
    <d v="2024-04-14T00:00:00"/>
    <d v="2017-06-25T00:00:00"/>
    <s v="HENRICO"/>
    <s v="Gur’yevsk"/>
    <n v="441"/>
    <s v="Inactivo"/>
    <n v="367.4076"/>
    <n v="307"/>
    <x v="1"/>
  </r>
  <r>
    <n v="444"/>
    <s v="Skippie"/>
    <s v="Dauber"/>
    <n v="11900571"/>
    <s v="corriente"/>
    <n v="105606.66"/>
    <d v="2025-02-05T00:00:00"/>
    <d v="2017-07-28T00:00:00"/>
    <s v="HENRICO"/>
    <s v="Citundun"/>
    <n v="144"/>
    <s v="Activo"/>
    <n v="378.44290000000001"/>
    <n v="279"/>
    <x v="0"/>
  </r>
  <r>
    <n v="445"/>
    <s v="Nicoli"/>
    <s v="MacNalley"/>
    <n v="83901744"/>
    <s v="corriente"/>
    <n v="161276.73000000001"/>
    <d v="2020-04-17T00:00:00"/>
    <d v="2016-08-22T00:00:00"/>
    <s v="BIRMINGHAM"/>
    <s v="Ciudad Bolívar"/>
    <n v="1899"/>
    <s v="Inactivo"/>
    <n v="274.61989999999997"/>
    <n v="587"/>
    <x v="0"/>
  </r>
  <r>
    <n v="446"/>
    <s v="Merlina"/>
    <s v="Gillie"/>
    <n v="271971829"/>
    <s v="corriente"/>
    <n v="68669.899999999994"/>
    <d v="2023-03-16T00:00:00"/>
    <d v="2018-11-02T00:00:00"/>
    <s v="CINCINNATI"/>
    <s v="Zhangjiafan"/>
    <n v="836"/>
    <s v="Inactivo"/>
    <n v="335.74919999999997"/>
    <n v="205"/>
    <x v="1"/>
  </r>
  <r>
    <n v="447"/>
    <s v="Betteanne"/>
    <s v="Howson"/>
    <n v="103107402"/>
    <s v="corriente"/>
    <n v="170853.32"/>
    <d v="2024-10-22T00:00:00"/>
    <d v="2016-05-11T00:00:00"/>
    <s v="ELMORE CITY"/>
    <s v="Ondangwa"/>
    <n v="250"/>
    <s v="Activo"/>
    <n v="376.04360000000003"/>
    <n v="454"/>
    <x v="0"/>
  </r>
  <r>
    <n v="448"/>
    <s v="Michaela"/>
    <s v="Pallas"/>
    <n v="42206804"/>
    <s v="corriente"/>
    <n v="153384.73000000001"/>
    <d v="2025-05-12T00:00:00"/>
    <d v="2016-05-13T00:00:00"/>
    <s v="NEWARK"/>
    <s v="Noailles"/>
    <n v="48"/>
    <s v="Activo"/>
    <n v="388.73790000000002"/>
    <n v="395"/>
    <x v="0"/>
  </r>
  <r>
    <n v="449"/>
    <s v="Trudie"/>
    <s v="Marris"/>
    <n v="111320006"/>
    <s v="corriente"/>
    <n v="73127.86"/>
    <d v="2020-04-26T00:00:00"/>
    <d v="2017-11-13T00:00:00"/>
    <s v="ABILENE"/>
    <s v="Göteborg"/>
    <n v="1890"/>
    <s v="Inactivo"/>
    <n v="275.08859999999999"/>
    <n v="266"/>
    <x v="1"/>
  </r>
  <r>
    <n v="450"/>
    <s v="Cassius"/>
    <s v="Tertre"/>
    <n v="63109935"/>
    <s v="ahorros"/>
    <n v="164492.38"/>
    <d v="2022-12-11T00:00:00"/>
    <d v="2018-11-04T00:00:00"/>
    <s v="CINCINNATI"/>
    <s v="Vientiane"/>
    <n v="931"/>
    <s v="Inactivo"/>
    <n v="322.80259999999998"/>
    <n v="510"/>
    <x v="0"/>
  </r>
  <r>
    <n v="451"/>
    <s v="Keen"/>
    <s v="Conibear"/>
    <n v="42102018"/>
    <s v="ahorros"/>
    <n v="185954.18"/>
    <d v="2022-10-09T00:00:00"/>
    <d v="2016-02-26T00:00:00"/>
    <s v="FRANKFORT"/>
    <s v="Russeifa"/>
    <n v="994"/>
    <s v="Inactivo"/>
    <n v="317.2013"/>
    <n v="586"/>
    <x v="0"/>
  </r>
  <r>
    <n v="452"/>
    <s v="Saunders"/>
    <s v="Klezmski"/>
    <n v="91206745"/>
    <s v="ahorros"/>
    <n v="122261.16"/>
    <d v="2024-11-14T00:00:00"/>
    <d v="2016-11-29T00:00:00"/>
    <s v="MOUNTAIN IRON"/>
    <s v="Dengjia"/>
    <n v="227"/>
    <s v="Activo"/>
    <n v="376.71300000000002"/>
    <n v="325"/>
    <x v="0"/>
  </r>
  <r>
    <n v="453"/>
    <s v="Trevor"/>
    <s v="Taffee"/>
    <n v="41001013"/>
    <s v="ahorros"/>
    <n v="119989.09"/>
    <d v="2022-08-19T00:00:00"/>
    <d v="2017-11-21T00:00:00"/>
    <s v="MARIETTA"/>
    <s v="San Francisco"/>
    <n v="1045"/>
    <s v="Inactivo"/>
    <n v="312.43349999999998"/>
    <n v="384"/>
    <x v="0"/>
  </r>
  <r>
    <n v="454"/>
    <s v="Mohandis"/>
    <s v="Jepson"/>
    <n v="325182755"/>
    <s v="corriente"/>
    <n v="95741.78"/>
    <d v="2024-05-05T00:00:00"/>
    <d v="2017-02-07T00:00:00"/>
    <s v="SPOKANE"/>
    <s v="Garden Grove"/>
    <n v="420"/>
    <s v="Inactivo"/>
    <n v="369.24930000000001"/>
    <n v="259"/>
    <x v="1"/>
  </r>
  <r>
    <n v="455"/>
    <s v="Eddy"/>
    <s v="Bragge"/>
    <n v="61204463"/>
    <s v="ahorros"/>
    <n v="50213.85"/>
    <d v="2023-07-04T00:00:00"/>
    <d v="2017-07-03T00:00:00"/>
    <s v="CHAS"/>
    <s v="Haruman"/>
    <n v="726"/>
    <s v="Inactivo"/>
    <n v="348.35759999999999"/>
    <n v="144"/>
    <x v="1"/>
  </r>
  <r>
    <n v="456"/>
    <s v="Fallon"/>
    <s v="Becom"/>
    <n v="84302698"/>
    <s v="ahorros"/>
    <n v="140168.38"/>
    <d v="2024-06-28T00:00:00"/>
    <d v="2016-05-21T00:00:00"/>
    <s v="TREZEVANT"/>
    <s v="Riangderi"/>
    <n v="366"/>
    <s v="Inactivo"/>
    <n v="372.98540000000003"/>
    <n v="376"/>
    <x v="0"/>
  </r>
  <r>
    <n v="457"/>
    <s v="Marney"/>
    <s v="Dain"/>
    <n v="122239021"/>
    <s v="corriente"/>
    <n v="120855.84"/>
    <d v="2021-05-16T00:00:00"/>
    <d v="2016-04-27T00:00:00"/>
    <s v="RIVERSIDE"/>
    <s v="Rafaï"/>
    <n v="1505"/>
    <s v="Inactivo"/>
    <n v="280.2867"/>
    <n v="431"/>
    <x v="0"/>
  </r>
  <r>
    <n v="458"/>
    <s v="Saidee"/>
    <s v="Georgeon"/>
    <n v="125107736"/>
    <s v="corriente"/>
    <n v="55305.79"/>
    <d v="2020-10-09T00:00:00"/>
    <d v="2018-10-22T00:00:00"/>
    <s v="SAN DIEGO"/>
    <s v="Serowe"/>
    <n v="1724"/>
    <s v="Inactivo"/>
    <n v="274.56799999999998"/>
    <n v="201"/>
    <x v="1"/>
  </r>
  <r>
    <n v="459"/>
    <s v="Anallese"/>
    <s v="Klicher"/>
    <n v="107000783"/>
    <s v="ahorros"/>
    <n v="210962.93"/>
    <d v="2021-06-12T00:00:00"/>
    <d v="2017-01-09T00:00:00"/>
    <s v="BIRMINGHAM"/>
    <s v="Kunwi"/>
    <n v="1478"/>
    <s v="Inactivo"/>
    <n v="281.72640000000001"/>
    <n v="749"/>
    <x v="0"/>
  </r>
  <r>
    <n v="460"/>
    <s v="Taffy"/>
    <s v="Pothbury"/>
    <n v="271172987"/>
    <s v="corriente"/>
    <n v="123479.82"/>
    <d v="2021-11-09T00:00:00"/>
    <d v="2016-08-20T00:00:00"/>
    <s v="PARIS"/>
    <s v="Bergen"/>
    <n v="1328"/>
    <s v="Inactivo"/>
    <n v="287.63709999999998"/>
    <n v="429"/>
    <x v="0"/>
  </r>
  <r>
    <n v="461"/>
    <s v="Timmy"/>
    <s v="Smallacombe"/>
    <n v="53201814"/>
    <s v="ahorros"/>
    <n v="150403.51"/>
    <d v="2024-08-19T00:00:00"/>
    <d v="2016-07-25T00:00:00"/>
    <s v="BIRMINGHAM"/>
    <s v="Greensboro"/>
    <n v="314"/>
    <s v="Activo"/>
    <n v="375.1866"/>
    <n v="401"/>
    <x v="0"/>
  </r>
  <r>
    <n v="462"/>
    <s v="Gilda"/>
    <s v="Guerro"/>
    <n v="53904483"/>
    <s v="corriente"/>
    <n v="120039.96"/>
    <d v="2020-05-16T00:00:00"/>
    <d v="2018-04-28T00:00:00"/>
    <s v="HENRICO"/>
    <s v="Skoki"/>
    <n v="1870"/>
    <s v="Inactivo"/>
    <n v="276.09480000000002"/>
    <n v="435"/>
    <x v="0"/>
  </r>
  <r>
    <n v="463"/>
    <s v="Vasili"/>
    <s v="Langmead"/>
    <n v="54001709"/>
    <s v="corriente"/>
    <n v="13082"/>
    <d v="2021-07-07T00:00:00"/>
    <d v="2017-09-25T00:00:00"/>
    <s v="BUFFALO"/>
    <s v="Bojonggaling"/>
    <n v="1453"/>
    <s v="Inactivo"/>
    <n v="283.9513"/>
    <n v="46"/>
    <x v="1"/>
  </r>
  <r>
    <n v="464"/>
    <s v="Consuela"/>
    <s v="Fenty"/>
    <n v="91408501"/>
    <s v="ahorros"/>
    <n v="165180.76"/>
    <d v="2023-06-10T00:00:00"/>
    <d v="2017-06-24T00:00:00"/>
    <s v="ST. PAUL"/>
    <s v="Benchu"/>
    <n v="750"/>
    <s v="Inactivo"/>
    <n v="346.97710000000001"/>
    <n v="476"/>
    <x v="0"/>
  </r>
  <r>
    <n v="465"/>
    <s v="Calypso"/>
    <s v="Lavrick"/>
    <n v="111903151"/>
    <s v="corriente"/>
    <n v="50952.13"/>
    <d v="2023-10-05T00:00:00"/>
    <d v="2018-05-26T00:00:00"/>
    <s v="HENDERSON"/>
    <s v="Tymbark"/>
    <n v="633"/>
    <s v="Inactivo"/>
    <n v="353.34199999999998"/>
    <n v="144"/>
    <x v="1"/>
  </r>
  <r>
    <n v="466"/>
    <s v="Homer"/>
    <s v="Nortunen"/>
    <n v="62200628"/>
    <s v="corriente"/>
    <n v="49226.58"/>
    <d v="2025-04-07T00:00:00"/>
    <d v="2017-06-28T00:00:00"/>
    <s v="BIRMINGHAM"/>
    <s v="Bastos"/>
    <n v="83"/>
    <s v="Activo"/>
    <n v="385.79719999999998"/>
    <n v="128"/>
    <x v="0"/>
  </r>
  <r>
    <n v="467"/>
    <s v="Daron"/>
    <s v="Michieli"/>
    <n v="122105715"/>
    <s v="corriente"/>
    <n v="40644.269999999997"/>
    <d v="2023-04-25T00:00:00"/>
    <d v="2016-09-20T00:00:00"/>
    <s v="OKLAHOMA CITY"/>
    <s v="Głubczyce"/>
    <n v="796"/>
    <s v="Inactivo"/>
    <n v="342.33120000000002"/>
    <n v="119"/>
    <x v="1"/>
  </r>
  <r>
    <n v="468"/>
    <s v="Hillyer"/>
    <s v="Schiefersten"/>
    <n v="114909165"/>
    <s v="ahorros"/>
    <n v="64683.7"/>
    <d v="2025-03-15T00:00:00"/>
    <d v="2016-09-28T00:00:00"/>
    <s v="HONDO"/>
    <s v="Mlawe"/>
    <n v="106"/>
    <s v="Activo"/>
    <n v="382.56619999999998"/>
    <n v="169"/>
    <x v="0"/>
  </r>
  <r>
    <n v="469"/>
    <s v="Orelle"/>
    <s v="Hainsworth"/>
    <n v="73904188"/>
    <s v="corriente"/>
    <n v="188032.19"/>
    <d v="2022-03-10T00:00:00"/>
    <d v="2016-05-21T00:00:00"/>
    <s v="SIOUX FALLS"/>
    <s v="Akouda"/>
    <n v="1207"/>
    <s v="Inactivo"/>
    <n v="295.42039999999997"/>
    <n v="636"/>
    <x v="0"/>
  </r>
  <r>
    <n v="470"/>
    <s v="Farra"/>
    <s v="Slader"/>
    <n v="211872959"/>
    <s v="corriente"/>
    <n v="41045.21"/>
    <d v="2022-12-05T00:00:00"/>
    <d v="2018-06-10T00:00:00"/>
    <s v="PITTSFIELD"/>
    <s v="Kristiansand S"/>
    <n v="937"/>
    <s v="Inactivo"/>
    <n v="322.33980000000003"/>
    <n v="127"/>
    <x v="1"/>
  </r>
  <r>
    <n v="471"/>
    <s v="Nicolais"/>
    <s v="Aizlewood"/>
    <n v="53208066"/>
    <s v="ahorros"/>
    <n v="170997.73"/>
    <d v="2020-08-19T00:00:00"/>
    <d v="2017-07-29T00:00:00"/>
    <s v="MOULTRIE"/>
    <s v="Nazaré"/>
    <n v="1775"/>
    <s v="Inactivo"/>
    <n v="274.58999999999997"/>
    <n v="623"/>
    <x v="0"/>
  </r>
  <r>
    <n v="472"/>
    <s v="Carma"/>
    <s v="Caughtry"/>
    <n v="265270222"/>
    <s v="corriente"/>
    <n v="122498.49"/>
    <d v="2021-02-18T00:00:00"/>
    <d v="2017-09-03T00:00:00"/>
    <s v="LAYAYETTE"/>
    <s v="Stavanger"/>
    <n v="1592"/>
    <s v="Inactivo"/>
    <n v="276.02839999999998"/>
    <n v="444"/>
    <x v="0"/>
  </r>
  <r>
    <n v="473"/>
    <s v="Neille"/>
    <s v="Roskelley"/>
    <n v="83905546"/>
    <s v="ahorros"/>
    <n v="140627.1"/>
    <d v="2023-10-04T00:00:00"/>
    <d v="2017-01-31T00:00:00"/>
    <s v="MILTON"/>
    <s v="Ami"/>
    <n v="634"/>
    <s v="Inactivo"/>
    <n v="353.25979999999998"/>
    <n v="398"/>
    <x v="0"/>
  </r>
  <r>
    <n v="474"/>
    <s v="Dallis"/>
    <s v="Apedaile"/>
    <n v="121135773"/>
    <s v="corriente"/>
    <n v="113370.71"/>
    <d v="2022-07-27T00:00:00"/>
    <d v="2016-02-24T00:00:00"/>
    <s v="SAN JOSE"/>
    <s v="Călăraşi"/>
    <n v="1068"/>
    <s v="Inactivo"/>
    <n v="311.13679999999999"/>
    <n v="364"/>
    <x v="0"/>
  </r>
  <r>
    <n v="475"/>
    <s v="Halley"/>
    <s v="Govier"/>
    <n v="74913233"/>
    <s v="ahorros"/>
    <n v="217658.29"/>
    <d v="2020-03-06T00:00:00"/>
    <d v="2017-07-03T00:00:00"/>
    <s v="NAPERVILLE"/>
    <s v="Bela Vista do Paraíso"/>
    <n v="1941"/>
    <s v="Inactivo"/>
    <n v="272.33440000000002"/>
    <n v="799"/>
    <x v="0"/>
  </r>
  <r>
    <n v="476"/>
    <s v="Sebastian"/>
    <s v="Screase"/>
    <n v="211170114"/>
    <s v="ahorros"/>
    <n v="182296.19"/>
    <d v="2022-01-10T00:00:00"/>
    <d v="2018-01-02T00:00:00"/>
    <s v="RIVERSIDE"/>
    <s v="Tambak"/>
    <n v="1266"/>
    <s v="Inactivo"/>
    <n v="289.0838"/>
    <n v="631"/>
    <x v="0"/>
  </r>
  <r>
    <n v="477"/>
    <s v="Durand"/>
    <s v="Cawker"/>
    <n v="111103317"/>
    <s v="corriente"/>
    <n v="87590.38"/>
    <d v="2020-08-26T00:00:00"/>
    <d v="2017-03-12T00:00:00"/>
    <s v="RICHMOND"/>
    <s v="Kallinge"/>
    <n v="1768"/>
    <s v="Inactivo"/>
    <n v="274.58999999999997"/>
    <n v="319"/>
    <x v="1"/>
  </r>
  <r>
    <n v="478"/>
    <s v="Sidney"/>
    <s v="Critcher"/>
    <n v="91216612"/>
    <s v="ahorros"/>
    <n v="12005.92"/>
    <d v="2022-10-25T00:00:00"/>
    <d v="2016-07-31T00:00:00"/>
    <s v="TYNDALL"/>
    <s v="Longtan"/>
    <n v="978"/>
    <s v="Inactivo"/>
    <n v="318.79629999999997"/>
    <n v="38"/>
    <x v="1"/>
  </r>
  <r>
    <n v="479"/>
    <s v="Herbie"/>
    <s v="Reichelt"/>
    <n v="51403517"/>
    <s v="corriente"/>
    <n v="149039.45000000001"/>
    <d v="2021-10-06T00:00:00"/>
    <d v="2016-11-05T00:00:00"/>
    <s v="PITTSBURGH"/>
    <s v="Järna"/>
    <n v="1362"/>
    <s v="Inactivo"/>
    <n v="286.37259999999998"/>
    <n v="520"/>
    <x v="0"/>
  </r>
  <r>
    <n v="480"/>
    <s v="Abel"/>
    <s v="Blaber"/>
    <n v="62102292"/>
    <s v="ahorros"/>
    <n v="151274.09"/>
    <d v="2020-10-29T00:00:00"/>
    <d v="2017-11-28T00:00:00"/>
    <s v="BRUNDIDGE"/>
    <s v="Qom"/>
    <n v="1704"/>
    <s v="Inactivo"/>
    <n v="274.95890000000003"/>
    <n v="550"/>
    <x v="0"/>
  </r>
  <r>
    <n v="481"/>
    <s v="Barry"/>
    <s v="Wenden"/>
    <n v="111324895"/>
    <s v="ahorros"/>
    <n v="182990.3"/>
    <d v="2024-01-17T00:00:00"/>
    <d v="2016-09-18T00:00:00"/>
    <s v="SEYMOUR"/>
    <s v="Wangmang"/>
    <n v="529"/>
    <s v="Inactivo"/>
    <n v="358.74880000000002"/>
    <n v="510"/>
    <x v="0"/>
  </r>
  <r>
    <n v="482"/>
    <s v="Luce"/>
    <s v="Pavie"/>
    <n v="75911373"/>
    <s v="corriente"/>
    <n v="57173.52"/>
    <d v="2023-07-04T00:00:00"/>
    <d v="2017-10-13T00:00:00"/>
    <s v="BIRNAMWOOD"/>
    <s v="Dalai"/>
    <n v="726"/>
    <s v="Inactivo"/>
    <n v="348.35759999999999"/>
    <n v="164"/>
    <x v="1"/>
  </r>
  <r>
    <n v="483"/>
    <s v="Yank"/>
    <s v="De Pietri"/>
    <n v="226070856"/>
    <s v="ahorros"/>
    <n v="119556.69"/>
    <d v="2022-06-24T00:00:00"/>
    <d v="2017-10-25T00:00:00"/>
    <s v="RICHMOND"/>
    <s v="Fort Lauderdale"/>
    <n v="1101"/>
    <s v="Inactivo"/>
    <n v="308.71170000000001"/>
    <n v="387"/>
    <x v="0"/>
  </r>
  <r>
    <n v="484"/>
    <s v="Yancey"/>
    <s v="Ternent"/>
    <n v="75000103"/>
    <s v="ahorros"/>
    <n v="133321.13"/>
    <d v="2023-05-07T00:00:00"/>
    <d v="2018-03-06T00:00:00"/>
    <s v="ST. PAUL"/>
    <s v="Roi Et"/>
    <n v="784"/>
    <s v="Inactivo"/>
    <n v="343.7645"/>
    <n v="388"/>
    <x v="0"/>
  </r>
  <r>
    <n v="485"/>
    <s v="Winny"/>
    <s v="Dunkersley"/>
    <n v="283079214"/>
    <s v="corriente"/>
    <n v="157820.66"/>
    <d v="2020-11-09T00:00:00"/>
    <d v="2016-02-14T00:00:00"/>
    <s v="ALEXANDRIA"/>
    <s v="Gīvī"/>
    <n v="1693"/>
    <s v="Inactivo"/>
    <n v="275.27080000000001"/>
    <n v="573"/>
    <x v="0"/>
  </r>
  <r>
    <n v="486"/>
    <s v="Phillis"/>
    <s v="Dwelley"/>
    <n v="104905836"/>
    <s v="corriente"/>
    <n v="96299.13"/>
    <d v="2020-01-14T00:00:00"/>
    <d v="2018-06-27T00:00:00"/>
    <s v="LOOMIS"/>
    <s v="Lazaro Cardenas"/>
    <n v="1993"/>
    <s v="Inactivo"/>
    <n v="270.83539999999999"/>
    <n v="356"/>
    <x v="0"/>
  </r>
  <r>
    <n v="487"/>
    <s v="Ardis"/>
    <s v="Parish"/>
    <n v="31306168"/>
    <s v="ahorros"/>
    <n v="194485.08"/>
    <d v="2020-07-03T00:00:00"/>
    <d v="2017-02-09T00:00:00"/>
    <s v="HERMITAGE"/>
    <s v="Bratslav"/>
    <n v="1822"/>
    <s v="Inactivo"/>
    <n v="275.99099999999999"/>
    <n v="705"/>
    <x v="0"/>
  </r>
  <r>
    <n v="488"/>
    <s v="Wang"/>
    <s v="Andrus"/>
    <n v="63114946"/>
    <s v="corriente"/>
    <n v="47454.11"/>
    <d v="2021-12-23T00:00:00"/>
    <d v="2017-09-18T00:00:00"/>
    <s v="ST CLOUD"/>
    <s v="Otradnoye"/>
    <n v="1284"/>
    <s v="Inactivo"/>
    <n v="288.24790000000002"/>
    <n v="165"/>
    <x v="1"/>
  </r>
  <r>
    <n v="489"/>
    <s v="Michaeline"/>
    <s v="Gallifont"/>
    <n v="71001588"/>
    <s v="ahorros"/>
    <n v="16159.42"/>
    <d v="2021-05-15T00:00:00"/>
    <d v="2017-07-08T00:00:00"/>
    <s v="ROSEMONT"/>
    <s v="Pokrovskoye"/>
    <n v="1506"/>
    <s v="Inactivo"/>
    <n v="280.23349999999999"/>
    <n v="58"/>
    <x v="1"/>
  </r>
  <r>
    <n v="490"/>
    <s v="Enos"/>
    <s v="Hassell"/>
    <n v="67016037"/>
    <s v="ahorros"/>
    <n v="144795.32999999999"/>
    <d v="2023-02-03T00:00:00"/>
    <d v="2018-07-08T00:00:00"/>
    <s v="FT LAUDERDALE"/>
    <s v="Goranboy"/>
    <n v="877"/>
    <s v="Inactivo"/>
    <n v="328.108"/>
    <n v="441"/>
    <x v="0"/>
  </r>
  <r>
    <n v="491"/>
    <s v="Eloise"/>
    <s v="Tampin"/>
    <n v="256072701"/>
    <s v="corriente"/>
    <n v="30479.86"/>
    <d v="2023-09-12T00:00:00"/>
    <d v="2018-07-21T00:00:00"/>
    <s v="MINNEAPOLIS"/>
    <s v="Gouxaria"/>
    <n v="656"/>
    <s v="Inactivo"/>
    <n v="351.53289999999998"/>
    <n v="87"/>
    <x v="1"/>
  </r>
  <r>
    <n v="492"/>
    <s v="Tyrone"/>
    <s v="Fetherstone"/>
    <n v="84202248"/>
    <s v="corriente"/>
    <n v="165977.88"/>
    <d v="2021-10-06T00:00:00"/>
    <d v="2017-02-20T00:00:00"/>
    <s v="TUPELO"/>
    <s v="Quintas"/>
    <n v="1362"/>
    <s v="Inactivo"/>
    <n v="286.37259999999998"/>
    <n v="580"/>
    <x v="0"/>
  </r>
  <r>
    <n v="493"/>
    <s v="Linus"/>
    <s v="FitzAlan"/>
    <n v="74903337"/>
    <s v="ahorros"/>
    <n v="100652.15"/>
    <d v="2020-04-17T00:00:00"/>
    <d v="2018-01-15T00:00:00"/>
    <s v="GREENSBURG"/>
    <s v="St. Catharines"/>
    <n v="1899"/>
    <s v="Inactivo"/>
    <n v="274.61989999999997"/>
    <n v="367"/>
    <x v="0"/>
  </r>
  <r>
    <n v="494"/>
    <s v="Kermy"/>
    <s v="Kettlestring"/>
    <n v="71108669"/>
    <s v="ahorros"/>
    <n v="126509.43"/>
    <d v="2021-11-02T00:00:00"/>
    <d v="2016-10-13T00:00:00"/>
    <s v="SULLIVAN"/>
    <s v="Kajar"/>
    <n v="1335"/>
    <s v="Inactivo"/>
    <n v="287.39080000000001"/>
    <n v="440"/>
    <x v="0"/>
  </r>
  <r>
    <n v="495"/>
    <s v="Daveta"/>
    <s v="Grono"/>
    <n v="65201349"/>
    <s v="ahorros"/>
    <n v="76404.66"/>
    <d v="2024-08-10T00:00:00"/>
    <d v="2018-09-27T00:00:00"/>
    <s v="LAFAYETTE"/>
    <s v="Banbalah"/>
    <n v="323"/>
    <s v="Activo"/>
    <n v="374.89659999999998"/>
    <n v="204"/>
    <x v="0"/>
  </r>
  <r>
    <n v="496"/>
    <s v="Burlie"/>
    <s v="Renols"/>
    <n v="113002296"/>
    <s v="ahorros"/>
    <n v="49158.25"/>
    <d v="2022-02-20T00:00:00"/>
    <d v="2017-03-22T00:00:00"/>
    <s v="JACINTO CITY"/>
    <s v="Plovdiv"/>
    <n v="1225"/>
    <s v="Inactivo"/>
    <n v="292.29169999999999"/>
    <n v="168"/>
    <x v="1"/>
  </r>
  <r>
    <n v="497"/>
    <s v="Niel"/>
    <s v="Bertwistle"/>
    <n v="101114552"/>
    <s v="ahorros"/>
    <n v="23857.66"/>
    <d v="2022-10-18T00:00:00"/>
    <d v="2018-05-04T00:00:00"/>
    <s v="HOPE"/>
    <s v="Xinyuan"/>
    <n v="985"/>
    <s v="Inactivo"/>
    <n v="318.13069999999999"/>
    <n v="75"/>
    <x v="1"/>
  </r>
  <r>
    <n v="498"/>
    <s v="Forrest"/>
    <s v="Pulford"/>
    <n v="113024504"/>
    <s v="corriente"/>
    <n v="142690.85"/>
    <d v="2025-04-23T00:00:00"/>
    <d v="2016-05-06T00:00:00"/>
    <s v="SUGAR LAND"/>
    <s v="Johor Bahru"/>
    <n v="67"/>
    <s v="Activo"/>
    <n v="387.46300000000002"/>
    <n v="368"/>
    <x v="0"/>
  </r>
  <r>
    <n v="499"/>
    <s v="Annamaria"/>
    <s v="Frankum"/>
    <n v="322275487"/>
    <s v="ahorros"/>
    <n v="171904.39"/>
    <d v="2022-05-05T00:00:00"/>
    <d v="2016-12-21T00:00:00"/>
    <s v="DOWNEY"/>
    <s v="Higuerote"/>
    <n v="1151"/>
    <s v="Inactivo"/>
    <n v="303.12920000000003"/>
    <n v="567"/>
    <x v="0"/>
  </r>
  <r>
    <n v="500"/>
    <s v="Caroljean"/>
    <s v="Feldmark"/>
    <n v="211370354"/>
    <s v="ahorros"/>
    <n v="89119.97"/>
    <d v="2022-11-20T00:00:00"/>
    <d v="2016-08-16T00:00:00"/>
    <s v="LYNN"/>
    <s v="Xiayang"/>
    <n v="952"/>
    <s v="Inactivo"/>
    <n v="321.18560000000002"/>
    <n v="277"/>
    <x v="1"/>
  </r>
  <r>
    <n v="501"/>
    <s v="Wyn"/>
    <s v="Joiner"/>
    <n v="111322813"/>
    <s v="ahorros"/>
    <n v="66055.83"/>
    <d v="2022-02-05T00:00:00"/>
    <d v="2016-08-29T00:00:00"/>
    <s v="KINGFISHER"/>
    <s v="Circa"/>
    <n v="1240"/>
    <s v="Inactivo"/>
    <n v="290.74549999999999"/>
    <n v="227"/>
    <x v="1"/>
  </r>
  <r>
    <n v="502"/>
    <s v="Elwyn"/>
    <s v="Bremond"/>
    <n v="114909013"/>
    <s v="ahorros"/>
    <n v="48010.239999999998"/>
    <d v="2025-06-03T00:00:00"/>
    <d v="2017-05-09T00:00:00"/>
    <s v="BIRMINGHAM"/>
    <s v="Malie"/>
    <n v="26"/>
    <s v="Activo"/>
    <n v="390.51080000000002"/>
    <n v="123"/>
    <x v="0"/>
  </r>
  <r>
    <n v="503"/>
    <s v="Hendrick"/>
    <s v="Robers"/>
    <n v="65104611"/>
    <s v="corriente"/>
    <n v="150993.15"/>
    <d v="2024-04-06T00:00:00"/>
    <d v="2017-02-08T00:00:00"/>
    <s v="BIRMINGHAM"/>
    <s v="Esuk Oron"/>
    <n v="449"/>
    <s v="Inactivo"/>
    <n v="366.38119999999998"/>
    <n v="412"/>
    <x v="0"/>
  </r>
  <r>
    <n v="504"/>
    <s v="Clemmy"/>
    <s v="McVrone"/>
    <n v="104902392"/>
    <s v="corriente"/>
    <n v="179820.9"/>
    <d v="2023-09-20T00:00:00"/>
    <d v="2018-03-06T00:00:00"/>
    <s v="WISNER"/>
    <s v="Paka"/>
    <n v="648"/>
    <s v="Inactivo"/>
    <n v="352.11169999999998"/>
    <n v="511"/>
    <x v="0"/>
  </r>
  <r>
    <n v="505"/>
    <s v="Suzanna"/>
    <s v="Beckensall"/>
    <n v="31311674"/>
    <s v="ahorros"/>
    <n v="85517.16"/>
    <d v="2023-04-29T00:00:00"/>
    <d v="2018-02-22T00:00:00"/>
    <s v="INDIANA"/>
    <s v="Baro Kunda"/>
    <n v="792"/>
    <s v="Inactivo"/>
    <n v="342.80829999999997"/>
    <n v="249"/>
    <x v="1"/>
  </r>
  <r>
    <n v="506"/>
    <s v="Jesus"/>
    <s v="Bolesma"/>
    <n v="253170253"/>
    <s v="ahorros"/>
    <n v="217479.8"/>
    <d v="2020-02-17T00:00:00"/>
    <d v="2016-10-20T00:00:00"/>
    <s v="ASHEBORO"/>
    <s v="Wschowa"/>
    <n v="1959"/>
    <s v="Inactivo"/>
    <n v="271.62689999999998"/>
    <n v="801"/>
    <x v="0"/>
  </r>
  <r>
    <n v="507"/>
    <s v="Karol"/>
    <s v="McCourtie"/>
    <n v="61001323"/>
    <s v="ahorros"/>
    <n v="100076.54"/>
    <d v="2022-11-28T00:00:00"/>
    <d v="2018-05-28T00:00:00"/>
    <s v="RICHMOND"/>
    <s v="Wanrongjiang"/>
    <n v="944"/>
    <s v="Inactivo"/>
    <n v="321.80070000000001"/>
    <n v="311"/>
    <x v="1"/>
  </r>
  <r>
    <n v="508"/>
    <s v="Kippie"/>
    <s v="Robic"/>
    <n v="21000322"/>
    <s v="corriente"/>
    <n v="57702.720000000001"/>
    <d v="2020-12-12T00:00:00"/>
    <d v="2017-10-25T00:00:00"/>
    <s v="RICHMOND"/>
    <s v="Marseille"/>
    <n v="1660"/>
    <s v="Inactivo"/>
    <n v="275.29239999999999"/>
    <n v="210"/>
    <x v="1"/>
  </r>
  <r>
    <n v="509"/>
    <s v="Tedie"/>
    <s v="Dehn"/>
    <n v="62202257"/>
    <s v="corriente"/>
    <n v="16584.240000000002"/>
    <d v="2023-06-14T00:00:00"/>
    <d v="2016-03-14T00:00:00"/>
    <s v="SULLIGENT"/>
    <s v="Wiset Chaichan"/>
    <n v="746"/>
    <s v="Inactivo"/>
    <n v="347.3252"/>
    <n v="48"/>
    <x v="1"/>
  </r>
  <r>
    <n v="510"/>
    <s v="Ronda"/>
    <s v="Mityashin"/>
    <n v="91802877"/>
    <s v="ahorros"/>
    <n v="84240.12"/>
    <d v="2024-03-02T00:00:00"/>
    <d v="2018-10-02T00:00:00"/>
    <s v="RIVER FALLS"/>
    <s v="Solna"/>
    <n v="484"/>
    <s v="Inactivo"/>
    <n v="362.08370000000002"/>
    <n v="233"/>
    <x v="1"/>
  </r>
  <r>
    <n v="511"/>
    <s v="Lorelle"/>
    <s v="Stradling"/>
    <n v="53111836"/>
    <s v="ahorros"/>
    <n v="58608.37"/>
    <d v="2021-10-11T00:00:00"/>
    <d v="2018-10-21T00:00:00"/>
    <s v="BLUEFIELD"/>
    <s v="Salaya"/>
    <n v="1357"/>
    <s v="Inactivo"/>
    <n v="286.58699999999999"/>
    <n v="205"/>
    <x v="1"/>
  </r>
  <r>
    <n v="512"/>
    <s v="Bogart"/>
    <s v="Harron"/>
    <n v="82901868"/>
    <s v="corriente"/>
    <n v="17674.150000000001"/>
    <d v="2024-09-10T00:00:00"/>
    <d v="2016-12-25T00:00:00"/>
    <s v="PINE BLUFF"/>
    <s v="El Fureidīs"/>
    <n v="292"/>
    <s v="Activo"/>
    <n v="375.71899999999999"/>
    <n v="47"/>
    <x v="0"/>
  </r>
  <r>
    <n v="513"/>
    <s v="Graehme"/>
    <s v="Batterton"/>
    <n v="52173464"/>
    <s v="ahorros"/>
    <n v="194300.56"/>
    <d v="2020-05-11T00:00:00"/>
    <d v="2017-11-15T00:00:00"/>
    <s v="AMHERST"/>
    <s v="Horodok"/>
    <n v="1875"/>
    <s v="Inactivo"/>
    <n v="275.87150000000003"/>
    <n v="704"/>
    <x v="0"/>
  </r>
  <r>
    <n v="514"/>
    <s v="Andrea"/>
    <s v="Coryndon"/>
    <n v="322270521"/>
    <s v="corriente"/>
    <n v="124050.31"/>
    <d v="2022-08-30T00:00:00"/>
    <d v="2017-04-21T00:00:00"/>
    <s v="TAMPA"/>
    <s v="Morelos"/>
    <n v="1034"/>
    <s v="Inactivo"/>
    <n v="313.32909999999998"/>
    <n v="396"/>
    <x v="0"/>
  </r>
  <r>
    <n v="515"/>
    <s v="Vanessa"/>
    <s v="Shillom"/>
    <n v="83002533"/>
    <s v="corriente"/>
    <n v="110220.4"/>
    <d v="2025-04-26T00:00:00"/>
    <d v="2017-05-03T00:00:00"/>
    <s v="LEXINGTON"/>
    <s v="Shiraz"/>
    <n v="64"/>
    <s v="Activo"/>
    <n v="387.66399999999999"/>
    <n v="284"/>
    <x v="0"/>
  </r>
  <r>
    <n v="516"/>
    <s v="Feodor"/>
    <s v="Pemberton"/>
    <n v="107005047"/>
    <s v="corriente"/>
    <n v="149504.6"/>
    <d v="2022-10-31T00:00:00"/>
    <d v="2016-11-15T00:00:00"/>
    <s v="LAKEWOOD"/>
    <s v="Kaliwates"/>
    <n v="972"/>
    <s v="Inactivo"/>
    <n v="319.36799999999999"/>
    <n v="468"/>
    <x v="0"/>
  </r>
  <r>
    <n v="517"/>
    <s v="Shem"/>
    <s v="Allden"/>
    <n v="104000016"/>
    <s v="corriente"/>
    <n v="46317.1"/>
    <d v="2025-04-03T00:00:00"/>
    <d v="2018-09-28T00:00:00"/>
    <s v="OMAHA"/>
    <s v="Galutu"/>
    <n v="87"/>
    <s v="Activo"/>
    <n v="385.23340000000002"/>
    <n v="120"/>
    <x v="0"/>
  </r>
  <r>
    <n v="518"/>
    <s v="Diahann"/>
    <s v="Perchard"/>
    <n v="71002257"/>
    <s v="corriente"/>
    <n v="21000.82"/>
    <d v="2024-06-22T00:00:00"/>
    <d v="2017-10-15T00:00:00"/>
    <s v="ROSEMONT"/>
    <s v="Lidköping"/>
    <n v="372"/>
    <s v="Inactivo"/>
    <n v="372.66539999999998"/>
    <n v="56"/>
    <x v="1"/>
  </r>
  <r>
    <n v="519"/>
    <s v="Dory"/>
    <s v="Eneas"/>
    <n v="11002550"/>
    <s v="corriente"/>
    <n v="209140.34"/>
    <d v="2023-06-03T00:00:00"/>
    <d v="2017-10-26T00:00:00"/>
    <s v="LYNN"/>
    <s v="Tallahassee"/>
    <n v="757"/>
    <s v="Inactivo"/>
    <n v="346.3689"/>
    <n v="604"/>
    <x v="0"/>
  </r>
  <r>
    <n v="520"/>
    <s v="Ysabel"/>
    <s v="Geane"/>
    <n v="53110112"/>
    <s v="corriente"/>
    <n v="134478.25"/>
    <d v="2023-04-19T00:00:00"/>
    <d v="2017-03-12T00:00:00"/>
    <s v="MINNEAPOLIS"/>
    <s v="Pulupandan"/>
    <n v="802"/>
    <s v="Inactivo"/>
    <n v="341.61680000000001"/>
    <n v="394"/>
    <x v="0"/>
  </r>
  <r>
    <n v="521"/>
    <s v="Krystalle"/>
    <s v="Welden"/>
    <n v="272471179"/>
    <s v="ahorros"/>
    <n v="210372.09"/>
    <d v="2023-06-29T00:00:00"/>
    <d v="2018-04-09T00:00:00"/>
    <s v="MIDLAND"/>
    <s v="Paphos"/>
    <n v="731"/>
    <s v="Inactivo"/>
    <n v="348.10849999999999"/>
    <n v="604"/>
    <x v="0"/>
  </r>
  <r>
    <n v="522"/>
    <s v="Diana"/>
    <s v="Sausman"/>
    <n v="21272655"/>
    <s v="ahorros"/>
    <n v="155359.62"/>
    <d v="2020-11-17T00:00:00"/>
    <d v="2017-08-25T00:00:00"/>
    <s v="NEW CASTLE"/>
    <s v="Nioro"/>
    <n v="1685"/>
    <s v="Inactivo"/>
    <n v="275.43009999999998"/>
    <n v="564"/>
    <x v="0"/>
  </r>
  <r>
    <n v="523"/>
    <s v="Sandie"/>
    <s v="Mantha"/>
    <n v="241270291"/>
    <s v="ahorros"/>
    <n v="97960.8"/>
    <d v="2021-12-18T00:00:00"/>
    <d v="2017-10-14T00:00:00"/>
    <s v="COLUMBUS"/>
    <s v="Amangarh"/>
    <n v="1289"/>
    <s v="Inactivo"/>
    <n v="288.01609999999999"/>
    <n v="340"/>
    <x v="0"/>
  </r>
  <r>
    <n v="524"/>
    <s v="Maurise"/>
    <s v="Mersey"/>
    <n v="103112617"/>
    <s v="corriente"/>
    <n v="175399.21"/>
    <d v="2021-08-17T00:00:00"/>
    <d v="2016-12-22T00:00:00"/>
    <s v="MENA"/>
    <s v="Gontar"/>
    <n v="1412"/>
    <s v="Inactivo"/>
    <n v="284.62209999999999"/>
    <n v="616"/>
    <x v="0"/>
  </r>
  <r>
    <n v="525"/>
    <s v="Edi"/>
    <s v="Yacob"/>
    <n v="281073555"/>
    <s v="ahorros"/>
    <n v="152213.42000000001"/>
    <d v="2023-08-26T00:00:00"/>
    <d v="2016-11-02T00:00:00"/>
    <s v="CHAMPAIGN"/>
    <s v="Atlanta"/>
    <n v="673"/>
    <s v="Inactivo"/>
    <n v="350.5727"/>
    <n v="434"/>
    <x v="0"/>
  </r>
  <r>
    <n v="526"/>
    <s v="Shela"/>
    <s v="Gawthrope"/>
    <n v="111101995"/>
    <s v="ahorros"/>
    <n v="146546.89000000001"/>
    <d v="2022-07-22T00:00:00"/>
    <d v="2016-04-14T00:00:00"/>
    <s v="RICHMOND"/>
    <s v="Orenburg"/>
    <n v="1073"/>
    <s v="Inactivo"/>
    <n v="310.88159999999999"/>
    <n v="471"/>
    <x v="0"/>
  </r>
  <r>
    <n v="527"/>
    <s v="Rowland"/>
    <s v="Brandts"/>
    <n v="91400606"/>
    <s v="ahorros"/>
    <n v="75284.38"/>
    <d v="2022-10-13T00:00:00"/>
    <d v="2017-05-08T00:00:00"/>
    <s v="BROOKINGS"/>
    <s v="Ciyu"/>
    <n v="990"/>
    <s v="Inactivo"/>
    <n v="317.63080000000002"/>
    <n v="237"/>
    <x v="1"/>
  </r>
  <r>
    <n v="528"/>
    <s v="Cate"/>
    <s v="Vause"/>
    <n v="111904338"/>
    <s v="corriente"/>
    <n v="179886.57"/>
    <d v="2023-02-24T00:00:00"/>
    <d v="2016-01-17T00:00:00"/>
    <s v="HENDERSON"/>
    <s v="Santiago dos Velhos"/>
    <n v="856"/>
    <s v="Inactivo"/>
    <n v="331.57729999999998"/>
    <n v="543"/>
    <x v="0"/>
  </r>
  <r>
    <n v="529"/>
    <s v="Gennifer"/>
    <s v="Cathel"/>
    <n v="67012057"/>
    <s v="corriente"/>
    <n v="154601.87"/>
    <d v="2024-12-05T00:00:00"/>
    <d v="2018-02-23T00:00:00"/>
    <s v="ROCKY MOUNT"/>
    <s v="Hüremt"/>
    <n v="206"/>
    <s v="Activo"/>
    <n v="376.41550000000001"/>
    <n v="411"/>
    <x v="0"/>
  </r>
  <r>
    <n v="530"/>
    <s v="Cristina"/>
    <s v="Brugemann"/>
    <n v="101114992"/>
    <s v="ahorros"/>
    <n v="152975.57"/>
    <d v="2023-02-08T00:00:00"/>
    <d v="2017-08-01T00:00:00"/>
    <s v="KANSAS CITY"/>
    <s v="Stockholm"/>
    <n v="872"/>
    <s v="Inactivo"/>
    <n v="328.7713"/>
    <n v="465"/>
    <x v="0"/>
  </r>
  <r>
    <n v="531"/>
    <s v="Sarena"/>
    <s v="Grene"/>
    <n v="65301197"/>
    <s v="ahorros"/>
    <n v="159144.21"/>
    <d v="2023-01-08T00:00:00"/>
    <d v="2017-06-16T00:00:00"/>
    <s v="BELZONI"/>
    <s v="Tupiza"/>
    <n v="903"/>
    <s v="Inactivo"/>
    <n v="325.03609999999998"/>
    <n v="490"/>
    <x v="0"/>
  </r>
  <r>
    <n v="532"/>
    <s v="Abdel"/>
    <s v="Jervoise"/>
    <n v="54001550"/>
    <s v="corriente"/>
    <n v="87645.72"/>
    <d v="2021-10-01T00:00:00"/>
    <d v="2017-12-09T00:00:00"/>
    <s v="CHANTILLY"/>
    <s v="Los Angeles"/>
    <n v="1367"/>
    <s v="Inactivo"/>
    <n v="286.15839999999997"/>
    <n v="306"/>
    <x v="1"/>
  </r>
  <r>
    <n v="533"/>
    <s v="Vinnie"/>
    <s v="Matherson"/>
    <n v="81000702"/>
    <s v="ahorros"/>
    <n v="25030.42"/>
    <d v="2024-06-11T00:00:00"/>
    <d v="2016-02-19T00:00:00"/>
    <s v="CLEVELAND"/>
    <s v="Xiangcheng"/>
    <n v="383"/>
    <s v="Inactivo"/>
    <n v="372.01010000000002"/>
    <n v="67"/>
    <x v="1"/>
  </r>
  <r>
    <n v="534"/>
    <s v="Tressa"/>
    <s v="Bodleigh"/>
    <n v="81518524"/>
    <s v="ahorros"/>
    <n v="194395.03"/>
    <d v="2022-07-20T00:00:00"/>
    <d v="2016-05-19T00:00:00"/>
    <s v="CHARLESTON"/>
    <s v="Balingasag"/>
    <n v="1075"/>
    <s v="Inactivo"/>
    <n v="310.77960000000002"/>
    <n v="626"/>
    <x v="0"/>
  </r>
  <r>
    <n v="535"/>
    <s v="Paula"/>
    <s v="Ambrosetti"/>
    <n v="63103407"/>
    <s v="corriente"/>
    <n v="184406.89"/>
    <d v="2023-05-18T00:00:00"/>
    <d v="2018-06-15T00:00:00"/>
    <s v="LAKE WALES"/>
    <s v="Kuytun"/>
    <n v="773"/>
    <s v="Inactivo"/>
    <n v="344.98270000000002"/>
    <n v="535"/>
    <x v="0"/>
  </r>
  <r>
    <n v="536"/>
    <s v="Doti"/>
    <s v="Lucchi"/>
    <n v="84205559"/>
    <s v="ahorros"/>
    <n v="164093.57999999999"/>
    <d v="2020-04-29T00:00:00"/>
    <d v="2016-09-05T00:00:00"/>
    <s v="BELZONI"/>
    <s v="Donggang"/>
    <n v="1887"/>
    <s v="Inactivo"/>
    <n v="275.245"/>
    <n v="596"/>
    <x v="0"/>
  </r>
  <r>
    <n v="537"/>
    <s v="Adrea"/>
    <s v="Pike"/>
    <n v="107006101"/>
    <s v="ahorros"/>
    <n v="103205.17"/>
    <d v="2023-09-15T00:00:00"/>
    <d v="2017-08-26T00:00:00"/>
    <s v="LAKEWOOD"/>
    <s v="Las Carreras"/>
    <n v="653"/>
    <s v="Inactivo"/>
    <n v="351.70260000000002"/>
    <n v="293"/>
    <x v="1"/>
  </r>
  <r>
    <n v="538"/>
    <s v="Sydney"/>
    <s v="Thew"/>
    <n v="121132682"/>
    <s v="ahorros"/>
    <n v="138947.23000000001"/>
    <d v="2021-05-17T00:00:00"/>
    <d v="2017-11-21T00:00:00"/>
    <s v="EL MONTE"/>
    <s v="Kasungu"/>
    <n v="1504"/>
    <s v="Inactivo"/>
    <n v="280.3399"/>
    <n v="496"/>
    <x v="0"/>
  </r>
  <r>
    <n v="539"/>
    <s v="Denny"/>
    <s v="Basham"/>
    <n v="111914289"/>
    <s v="corriente"/>
    <n v="204340.65"/>
    <d v="2023-03-27T00:00:00"/>
    <d v="2016-07-30T00:00:00"/>
    <s v="BIRMINGHAM"/>
    <s v="Jingxiyuan"/>
    <n v="825"/>
    <s v="Inactivo"/>
    <n v="337.71629999999999"/>
    <n v="605"/>
    <x v="0"/>
  </r>
  <r>
    <n v="540"/>
    <s v="Emmy"/>
    <s v="Teas"/>
    <n v="63114784"/>
    <s v="corriente"/>
    <n v="69383.42"/>
    <d v="2021-07-09T00:00:00"/>
    <d v="2017-06-24T00:00:00"/>
    <s v="PITTSBURGH"/>
    <s v="Yangjiao"/>
    <n v="1451"/>
    <s v="Inactivo"/>
    <n v="284.1397"/>
    <n v="244"/>
    <x v="1"/>
  </r>
  <r>
    <n v="541"/>
    <s v="Rozanna"/>
    <s v="Capelow"/>
    <n v="226071237"/>
    <s v="corriente"/>
    <n v="189002.48"/>
    <d v="2024-07-17T00:00:00"/>
    <d v="2016-05-20T00:00:00"/>
    <s v="READING"/>
    <s v="Buliwao"/>
    <n v="347"/>
    <s v="Activo"/>
    <n v="373.97050000000002"/>
    <n v="505"/>
    <x v="0"/>
  </r>
  <r>
    <n v="542"/>
    <s v="Andeee"/>
    <s v="Ybarra"/>
    <n v="211371191"/>
    <s v="corriente"/>
    <n v="161856.91"/>
    <d v="2025-05-02T00:00:00"/>
    <d v="2016-04-29T00:00:00"/>
    <s v="READING"/>
    <s v="Velké Losiny"/>
    <n v="58"/>
    <s v="Activo"/>
    <n v="388.06639999999999"/>
    <n v="417"/>
    <x v="0"/>
  </r>
  <r>
    <n v="543"/>
    <s v="Leesa"/>
    <s v="O'Donegan"/>
    <n v="311093120"/>
    <s v="ahorros"/>
    <n v="164869.65"/>
    <d v="2025-02-16T00:00:00"/>
    <d v="2016-12-08T00:00:00"/>
    <s v="HENRICO"/>
    <s v="Bagumbayan"/>
    <n v="133"/>
    <s v="Activo"/>
    <n v="379.13029999999998"/>
    <n v="435"/>
    <x v="0"/>
  </r>
  <r>
    <n v="544"/>
    <s v="Janot"/>
    <s v="Peyton"/>
    <n v="21200025"/>
    <s v="corriente"/>
    <n v="52026.54"/>
    <d v="2022-04-26T00:00:00"/>
    <d v="2018-08-25T00:00:00"/>
    <s v="MINNEAPOLIS"/>
    <s v="Damiao"/>
    <n v="1160"/>
    <s v="Inactivo"/>
    <n v="302.22559999999999"/>
    <n v="172"/>
    <x v="1"/>
  </r>
  <r>
    <n v="545"/>
    <s v="Noah"/>
    <s v="Holleworth"/>
    <n v="55000110"/>
    <s v="corriente"/>
    <n v="186066.6"/>
    <d v="2023-06-01T00:00:00"/>
    <d v="2018-03-20T00:00:00"/>
    <s v="AMHERST"/>
    <s v="Buenavista"/>
    <n v="759"/>
    <s v="Inactivo"/>
    <n v="346.19529999999997"/>
    <n v="537"/>
    <x v="0"/>
  </r>
  <r>
    <n v="546"/>
    <s v="Zahara"/>
    <s v="Benkin"/>
    <n v="51000253"/>
    <s v="ahorros"/>
    <n v="80023.009999999995"/>
    <d v="2022-05-29T00:00:00"/>
    <d v="2018-05-05T00:00:00"/>
    <s v="MINNEAPOLIS"/>
    <s v="Xiaoqi"/>
    <n v="1127"/>
    <s v="Inactivo"/>
    <n v="305.84739999999999"/>
    <n v="262"/>
    <x v="1"/>
  </r>
  <r>
    <n v="547"/>
    <s v="Brett"/>
    <s v="Hollingshead"/>
    <n v="71922670"/>
    <s v="ahorros"/>
    <n v="18699.63"/>
    <d v="2024-03-18T00:00:00"/>
    <d v="2018-12-18T00:00:00"/>
    <s v="ITASCA"/>
    <s v="Hualin"/>
    <n v="468"/>
    <s v="Inactivo"/>
    <n v="363.95479999999998"/>
    <n v="51"/>
    <x v="1"/>
  </r>
  <r>
    <n v="548"/>
    <s v="Tish"/>
    <s v="Abramchik"/>
    <n v="31100490"/>
    <s v="corriente"/>
    <n v="212707.17"/>
    <d v="2023-03-14T00:00:00"/>
    <d v="2016-01-05T00:00:00"/>
    <s v="PITTSBURGH"/>
    <s v="Victoria"/>
    <n v="838"/>
    <s v="Inactivo"/>
    <n v="335.35950000000003"/>
    <n v="634"/>
    <x v="0"/>
  </r>
  <r>
    <n v="549"/>
    <s v="Isac"/>
    <s v="Cowterd"/>
    <n v="231375290"/>
    <s v="corriente"/>
    <n v="207140.22"/>
    <d v="2024-07-08T00:00:00"/>
    <d v="2017-08-02T00:00:00"/>
    <s v="HERMITAGE"/>
    <s v="Lumbayan"/>
    <n v="356"/>
    <s v="Activo"/>
    <n v="373.51920000000001"/>
    <n v="555"/>
    <x v="0"/>
  </r>
  <r>
    <n v="550"/>
    <s v="Irwinn"/>
    <s v="Jeary"/>
    <n v="63113138"/>
    <s v="ahorros"/>
    <n v="151112.85999999999"/>
    <d v="2023-04-22T00:00:00"/>
    <d v="2017-07-21T00:00:00"/>
    <s v="MOULTRIE"/>
    <s v="Khŭjand"/>
    <n v="799"/>
    <s v="Inactivo"/>
    <n v="341.97390000000001"/>
    <n v="442"/>
    <x v="0"/>
  </r>
  <r>
    <n v="551"/>
    <s v="Wylma"/>
    <s v="Rodrigues"/>
    <n v="101106560"/>
    <s v="ahorros"/>
    <n v="110020.03"/>
    <d v="2022-10-03T00:00:00"/>
    <d v="2017-08-05T00:00:00"/>
    <s v="DIGHTON"/>
    <s v="Sidi Yahia el Gharb"/>
    <n v="1000"/>
    <s v="Inactivo"/>
    <n v="316.5582"/>
    <n v="348"/>
    <x v="0"/>
  </r>
  <r>
    <n v="552"/>
    <s v="Christopher"/>
    <s v="Iacovozzo"/>
    <n v="271971560"/>
    <s v="corriente"/>
    <n v="45010.19"/>
    <d v="2024-06-13T00:00:00"/>
    <d v="2016-07-02T00:00:00"/>
    <s v="CLEVELAND"/>
    <s v="Helsingborg"/>
    <n v="381"/>
    <s v="Inactivo"/>
    <n v="372.15129999999999"/>
    <n v="121"/>
    <x v="1"/>
  </r>
  <r>
    <n v="553"/>
    <s v="Jaquelin"/>
    <s v="Paireman"/>
    <n v="71100010"/>
    <s v="ahorros"/>
    <n v="28846.48"/>
    <d v="2020-04-11T00:00:00"/>
    <d v="2017-11-18T00:00:00"/>
    <s v="KANSAS CITY"/>
    <s v="Kafr Dān"/>
    <n v="1905"/>
    <s v="Inactivo"/>
    <n v="274.27949999999998"/>
    <n v="105"/>
    <x v="1"/>
  </r>
  <r>
    <n v="554"/>
    <s v="Hiram"/>
    <s v="Ourtic"/>
    <n v="83905892"/>
    <s v="ahorros"/>
    <n v="199241.4"/>
    <d v="2021-11-09T00:00:00"/>
    <d v="2016-06-06T00:00:00"/>
    <s v="RUSSELL SPRINGS"/>
    <s v="Moulay Bouchta"/>
    <n v="1328"/>
    <s v="Inactivo"/>
    <n v="287.63709999999998"/>
    <n v="693"/>
    <x v="0"/>
  </r>
  <r>
    <n v="555"/>
    <s v="Corella"/>
    <s v="Buesden"/>
    <n v="74000078"/>
    <s v="ahorros"/>
    <n v="132536.57"/>
    <d v="2024-06-16T00:00:00"/>
    <d v="2016-05-07T00:00:00"/>
    <s v="COLUMBUS"/>
    <s v="Zhongtang"/>
    <n v="378"/>
    <s v="Inactivo"/>
    <n v="372.3458"/>
    <n v="356"/>
    <x v="0"/>
  </r>
  <r>
    <n v="556"/>
    <s v="Eugenio"/>
    <s v="Whear"/>
    <n v="104913048"/>
    <s v="corriente"/>
    <n v="99030.48"/>
    <d v="2020-03-03T00:00:00"/>
    <d v="2018-02-19T00:00:00"/>
    <s v="DAVID CITY"/>
    <s v="Piggs Peak"/>
    <n v="1944"/>
    <s v="Inactivo"/>
    <n v="272.21640000000002"/>
    <n v="364"/>
    <x v="0"/>
  </r>
  <r>
    <n v="557"/>
    <s v="Gerladina"/>
    <s v="Ramme"/>
    <n v="64108647"/>
    <s v="ahorros"/>
    <n v="45962.49"/>
    <d v="2020-11-15T00:00:00"/>
    <d v="2017-07-03T00:00:00"/>
    <s v="PINE BLUFF"/>
    <s v="Lühua"/>
    <n v="1687"/>
    <s v="Inactivo"/>
    <n v="275.44110000000001"/>
    <n v="167"/>
    <x v="1"/>
  </r>
  <r>
    <n v="558"/>
    <s v="Susannah"/>
    <s v="Chipchase"/>
    <n v="103902717"/>
    <s v="ahorros"/>
    <n v="164575.92000000001"/>
    <d v="2020-07-18T00:00:00"/>
    <d v="2016-01-02T00:00:00"/>
    <s v="TULSA"/>
    <s v="Sovetskaya Gavan’"/>
    <n v="1807"/>
    <s v="Inactivo"/>
    <n v="275.53590000000003"/>
    <n v="597"/>
    <x v="0"/>
  </r>
  <r>
    <n v="559"/>
    <s v="Arden"/>
    <s v="Chadwyck"/>
    <n v="104102257"/>
    <s v="corriente"/>
    <n v="137763.56"/>
    <d v="2020-08-14T00:00:00"/>
    <d v="2018-07-04T00:00:00"/>
    <s v="RANDOLPH"/>
    <s v="Sukapura"/>
    <n v="1780"/>
    <s v="Inactivo"/>
    <n v="274.62369999999999"/>
    <n v="502"/>
    <x v="0"/>
  </r>
  <r>
    <n v="560"/>
    <s v="Estell"/>
    <s v="Kemston"/>
    <n v="101100993"/>
    <s v="ahorros"/>
    <n v="89755.44"/>
    <d v="2022-03-17T00:00:00"/>
    <d v="2017-03-19T00:00:00"/>
    <s v="ARKANSAS CITY"/>
    <s v="Sioux City"/>
    <n v="1200"/>
    <s v="Inactivo"/>
    <n v="296.6046"/>
    <n v="303"/>
    <x v="1"/>
  </r>
  <r>
    <n v="561"/>
    <s v="Rinaldo"/>
    <s v="Poyle"/>
    <n v="122237544"/>
    <s v="corriente"/>
    <n v="213426.18"/>
    <d v="2025-03-25T00:00:00"/>
    <d v="2018-02-12T00:00:00"/>
    <s v="ONTARIO"/>
    <s v="Lagoa"/>
    <n v="96"/>
    <s v="Activo"/>
    <n v="383.96769999999998"/>
    <n v="556"/>
    <x v="0"/>
  </r>
  <r>
    <n v="562"/>
    <s v="Alexi"/>
    <s v="Stuchberry"/>
    <n v="82901826"/>
    <s v="corriente"/>
    <n v="179565.32"/>
    <d v="2021-04-09T00:00:00"/>
    <d v="2016-10-22T00:00:00"/>
    <s v="LAFAYETTE"/>
    <s v="Yeniköy"/>
    <n v="1542"/>
    <s v="Inactivo"/>
    <n v="278.4676"/>
    <n v="645"/>
    <x v="0"/>
  </r>
  <r>
    <n v="563"/>
    <s v="Jodi"/>
    <s v="Higgonet"/>
    <n v="61020317"/>
    <s v="corriente"/>
    <n v="110417.03"/>
    <d v="2020-12-21T00:00:00"/>
    <d v="2016-11-08T00:00:00"/>
    <s v="LAFAYETTE"/>
    <s v="Klang"/>
    <n v="1651"/>
    <s v="Inactivo"/>
    <n v="275.19580000000002"/>
    <n v="401"/>
    <x v="0"/>
  </r>
  <r>
    <n v="564"/>
    <s v="Kliment"/>
    <s v="Jzak"/>
    <n v="73903312"/>
    <s v="ahorros"/>
    <n v="154466.15"/>
    <d v="2020-06-20T00:00:00"/>
    <d v="2018-03-11T00:00:00"/>
    <s v="CHARLES CITY"/>
    <s v="Xiangfu"/>
    <n v="1835"/>
    <s v="Inactivo"/>
    <n v="276.37459999999999"/>
    <n v="559"/>
    <x v="0"/>
  </r>
  <r>
    <n v="565"/>
    <s v="Ainslee"/>
    <s v="Wastie"/>
    <n v="53112246"/>
    <s v="ahorros"/>
    <n v="107038.1"/>
    <d v="2023-10-24T00:00:00"/>
    <d v="2017-06-10T00:00:00"/>
    <s v="ELIZABETH CITY"/>
    <s v="Atlantis"/>
    <n v="614"/>
    <s v="Inactivo"/>
    <n v="354.71870000000001"/>
    <n v="302"/>
    <x v="1"/>
  </r>
  <r>
    <n v="566"/>
    <s v="Durward"/>
    <s v="Penhalewick"/>
    <n v="65404544"/>
    <s v="ahorros"/>
    <n v="134207.01"/>
    <d v="2023-05-23T00:00:00"/>
    <d v="2016-06-13T00:00:00"/>
    <s v="COVINGTON"/>
    <s v="Choisy-le-Roi"/>
    <n v="768"/>
    <s v="Inactivo"/>
    <n v="345.4153"/>
    <n v="389"/>
    <x v="0"/>
  </r>
  <r>
    <n v="567"/>
    <s v="Francesca"/>
    <s v="Trahear"/>
    <n v="273970585"/>
    <s v="ahorros"/>
    <n v="111636.65"/>
    <d v="2025-06-02T00:00:00"/>
    <d v="2016-07-13T00:00:00"/>
    <s v="SPRINGFIELD"/>
    <s v="Irará"/>
    <n v="27"/>
    <s v="Activo"/>
    <n v="390.428"/>
    <n v="286"/>
    <x v="0"/>
  </r>
  <r>
    <n v="568"/>
    <s v="Quintin"/>
    <s v="Kale"/>
    <n v="91806381"/>
    <s v="corriente"/>
    <n v="191062.16"/>
    <d v="2021-11-30T00:00:00"/>
    <d v="2016-02-10T00:00:00"/>
    <s v="OSSEO"/>
    <s v="Kagoro"/>
    <n v="1307"/>
    <s v="Inactivo"/>
    <n v="287.86270000000002"/>
    <n v="664"/>
    <x v="0"/>
  </r>
  <r>
    <n v="569"/>
    <s v="Nanette"/>
    <s v="Benian"/>
    <n v="84101323"/>
    <s v="corriente"/>
    <n v="106595.57"/>
    <d v="2024-09-13T00:00:00"/>
    <d v="2018-05-02T00:00:00"/>
    <s v="LAFAYETTE"/>
    <s v="Ipoh"/>
    <n v="289"/>
    <s v="Activo"/>
    <n v="375.79160000000002"/>
    <n v="284"/>
    <x v="0"/>
  </r>
  <r>
    <n v="570"/>
    <s v="Carol-jean"/>
    <s v="McDunlevy"/>
    <n v="111307430"/>
    <s v="ahorros"/>
    <n v="190376.42"/>
    <d v="2024-03-23T00:00:00"/>
    <d v="2016-06-27T00:00:00"/>
    <s v="BAIRD"/>
    <s v="Xindong"/>
    <n v="463"/>
    <s v="Inactivo"/>
    <n v="364.59179999999998"/>
    <n v="522"/>
    <x v="0"/>
  </r>
  <r>
    <n v="571"/>
    <s v="Calla"/>
    <s v="Molnar"/>
    <n v="21031207"/>
    <s v="ahorros"/>
    <n v="194335.11"/>
    <d v="2024-07-27T00:00:00"/>
    <d v="2016-12-16T00:00:00"/>
    <s v="TAMPA"/>
    <s v="Krajan Kerjo"/>
    <n v="337"/>
    <s v="Activo"/>
    <n v="374.35610000000003"/>
    <n v="519"/>
    <x v="0"/>
  </r>
  <r>
    <n v="572"/>
    <s v="Winfred"/>
    <s v="Gladden"/>
    <n v="251473758"/>
    <s v="corriente"/>
    <n v="47396.93"/>
    <d v="2021-12-04T00:00:00"/>
    <d v="2018-06-03T00:00:00"/>
    <s v="CROSS LANES"/>
    <s v="Cigembong"/>
    <n v="1303"/>
    <s v="Inactivo"/>
    <n v="287.86649999999997"/>
    <n v="165"/>
    <x v="1"/>
  </r>
  <r>
    <n v="573"/>
    <s v="Evvy"/>
    <s v="Penn"/>
    <n v="72413858"/>
    <s v="corriente"/>
    <n v="111614.6"/>
    <d v="2021-08-07T00:00:00"/>
    <d v="2016-06-23T00:00:00"/>
    <s v="MIDLAND"/>
    <s v="Kampene"/>
    <n v="1422"/>
    <s v="Inactivo"/>
    <n v="284.60019999999997"/>
    <n v="392"/>
    <x v="0"/>
  </r>
  <r>
    <n v="574"/>
    <s v="Doe"/>
    <s v="Elder"/>
    <n v="26007906"/>
    <s v="corriente"/>
    <n v="202226.96"/>
    <d v="2020-10-16T00:00:00"/>
    <d v="2017-07-02T00:00:00"/>
    <s v="NEW YORK"/>
    <s v="Qianzhou"/>
    <n v="1717"/>
    <s v="Inactivo"/>
    <n v="274.5908"/>
    <n v="736"/>
    <x v="0"/>
  </r>
  <r>
    <n v="575"/>
    <s v="Kathlin"/>
    <s v="Sheaf"/>
    <n v="61102701"/>
    <s v="corriente"/>
    <n v="75869.83"/>
    <d v="2024-06-09T00:00:00"/>
    <d v="2018-06-02T00:00:00"/>
    <s v="BLAIRSVILLE"/>
    <s v="Petro-Slavyanka"/>
    <n v="385"/>
    <s v="Inactivo"/>
    <n v="371.8689"/>
    <n v="204"/>
    <x v="1"/>
  </r>
  <r>
    <n v="576"/>
    <s v="Rafaello"/>
    <s v="Trineman"/>
    <n v="103000619"/>
    <s v="ahorros"/>
    <n v="109600.4"/>
    <d v="2024-12-17T00:00:00"/>
    <d v="2018-02-06T00:00:00"/>
    <s v="KANSAS CITY"/>
    <s v="Alor Setar"/>
    <n v="194"/>
    <s v="Activo"/>
    <n v="376.31779999999998"/>
    <n v="291"/>
    <x v="0"/>
  </r>
  <r>
    <n v="577"/>
    <s v="Lotta"/>
    <s v="Raddan"/>
    <n v="62103136"/>
    <s v="ahorros"/>
    <n v="89143.86"/>
    <d v="2021-09-02T00:00:00"/>
    <d v="2018-06-20T00:00:00"/>
    <s v="BIRMINGHAM"/>
    <s v="Tbilisskaya"/>
    <n v="1396"/>
    <s v="Inactivo"/>
    <n v="285.09179999999998"/>
    <n v="313"/>
    <x v="1"/>
  </r>
  <r>
    <n v="578"/>
    <s v="Horacio"/>
    <s v="Artz"/>
    <n v="111912197"/>
    <s v="ahorros"/>
    <n v="196019.5"/>
    <d v="2020-08-16T00:00:00"/>
    <d v="2016-10-20T00:00:00"/>
    <s v="CORSICANA"/>
    <s v="Yangjingziwan"/>
    <n v="1778"/>
    <s v="Inactivo"/>
    <n v="274.58999999999997"/>
    <n v="714"/>
    <x v="0"/>
  </r>
  <r>
    <n v="579"/>
    <s v="Alia"/>
    <s v="Copo"/>
    <n v="111104947"/>
    <s v="corriente"/>
    <n v="78327.16"/>
    <d v="2023-05-31T00:00:00"/>
    <d v="2017-02-22T00:00:00"/>
    <s v="RICHMOND"/>
    <s v="Djibo"/>
    <n v="760"/>
    <s v="Inactivo"/>
    <n v="346.10860000000002"/>
    <n v="226"/>
    <x v="1"/>
  </r>
  <r>
    <n v="580"/>
    <s v="Berty"/>
    <s v="Antonias"/>
    <n v="211174233"/>
    <s v="ahorros"/>
    <n v="31173.42"/>
    <d v="2023-05-05T00:00:00"/>
    <d v="2017-05-19T00:00:00"/>
    <s v="LEWISTON"/>
    <s v="Beidao"/>
    <n v="786"/>
    <s v="Inactivo"/>
    <n v="343.52519999999998"/>
    <n v="91"/>
    <x v="1"/>
  </r>
  <r>
    <n v="581"/>
    <s v="Adora"/>
    <s v="Valentinetti"/>
    <n v="111101157"/>
    <s v="corriente"/>
    <n v="174450.34"/>
    <d v="2022-05-29T00:00:00"/>
    <d v="2018-04-26T00:00:00"/>
    <s v="RICHMOND"/>
    <s v="Jorong Lauk"/>
    <n v="1127"/>
    <s v="Inactivo"/>
    <n v="305.84739999999999"/>
    <n v="570"/>
    <x v="0"/>
  </r>
  <r>
    <n v="582"/>
    <s v="Phil"/>
    <s v="Trye"/>
    <n v="111311785"/>
    <s v="corriente"/>
    <n v="144406.89000000001"/>
    <d v="2021-11-04T00:00:00"/>
    <d v="2018-07-19T00:00:00"/>
    <s v="MERTZON"/>
    <s v="Busungbiu"/>
    <n v="1333"/>
    <s v="Inactivo"/>
    <n v="287.46109999999999"/>
    <n v="502"/>
    <x v="0"/>
  </r>
  <r>
    <n v="583"/>
    <s v="Rosabelle"/>
    <s v="Seery"/>
    <n v="122242018"/>
    <s v="corriente"/>
    <n v="46961.41"/>
    <d v="2020-09-28T00:00:00"/>
    <d v="2017-02-21T00:00:00"/>
    <s v="EL MONTE"/>
    <s v="Levallois-Perret"/>
    <n v="1735"/>
    <s v="Inactivo"/>
    <n v="274.57810000000001"/>
    <n v="171"/>
    <x v="1"/>
  </r>
  <r>
    <n v="584"/>
    <s v="Birgitta"/>
    <s v="De Giorgio"/>
    <n v="125108858"/>
    <s v="corriente"/>
    <n v="52216.09"/>
    <d v="2021-04-11T00:00:00"/>
    <d v="2018-09-04T00:00:00"/>
    <s v="SPOKANE"/>
    <s v="Omaha"/>
    <n v="1540"/>
    <s v="Inactivo"/>
    <n v="278.5822"/>
    <n v="187"/>
    <x v="1"/>
  </r>
  <r>
    <n v="585"/>
    <s v="Zilvia"/>
    <s v="Duns"/>
    <n v="84006729"/>
    <s v="corriente"/>
    <n v="118763.5"/>
    <d v="2021-11-13T00:00:00"/>
    <d v="2016-01-25T00:00:00"/>
    <s v="JACKSON"/>
    <s v="Tumaco"/>
    <n v="1324"/>
    <s v="Inactivo"/>
    <n v="287.77789999999999"/>
    <n v="413"/>
    <x v="0"/>
  </r>
  <r>
    <n v="586"/>
    <s v="Caressa"/>
    <s v="Margery"/>
    <n v="254075454"/>
    <s v="corriente"/>
    <n v="86295.77"/>
    <d v="2020-12-26T00:00:00"/>
    <d v="2018-11-25T00:00:00"/>
    <s v="ALEXANDRIA"/>
    <s v="Tonggu"/>
    <n v="1646"/>
    <s v="Inactivo"/>
    <n v="275.12920000000003"/>
    <n v="314"/>
    <x v="1"/>
  </r>
  <r>
    <n v="587"/>
    <s v="Cathyleen"/>
    <s v="Emmerson"/>
    <n v="111901580"/>
    <s v="ahorros"/>
    <n v="32985.9"/>
    <d v="2023-06-03T00:00:00"/>
    <d v="2018-01-09T00:00:00"/>
    <s v="BROWNWOOD"/>
    <s v="Ōmiya"/>
    <n v="757"/>
    <s v="Inactivo"/>
    <n v="346.3689"/>
    <n v="95"/>
    <x v="1"/>
  </r>
  <r>
    <n v="588"/>
    <s v="Stefan"/>
    <s v="McCourt"/>
    <n v="53010445"/>
    <s v="corriente"/>
    <n v="38340.53"/>
    <d v="2023-11-24T00:00:00"/>
    <d v="2018-07-20T00:00:00"/>
    <s v="RALEIGH"/>
    <s v="Pulau Pinang"/>
    <n v="583"/>
    <s v="Inactivo"/>
    <n v="356.34379999999999"/>
    <n v="108"/>
    <x v="1"/>
  </r>
  <r>
    <n v="589"/>
    <s v="Garrek"/>
    <s v="Robley"/>
    <n v="91301815"/>
    <s v="ahorros"/>
    <n v="98914.21"/>
    <d v="2022-07-23T00:00:00"/>
    <d v="2017-11-27T00:00:00"/>
    <s v="MOTT"/>
    <s v="Bitobe"/>
    <n v="1072"/>
    <s v="Inactivo"/>
    <n v="310.93259999999998"/>
    <n v="318"/>
    <x v="1"/>
  </r>
  <r>
    <n v="590"/>
    <s v="Deane"/>
    <s v="Staggs"/>
    <n v="63015537"/>
    <s v="ahorros"/>
    <n v="31914.04"/>
    <d v="2022-06-08T00:00:00"/>
    <d v="2017-05-31T00:00:00"/>
    <s v="ATLANTA"/>
    <s v="Kolsh"/>
    <n v="1117"/>
    <s v="Inactivo"/>
    <n v="307.0754"/>
    <n v="104"/>
    <x v="1"/>
  </r>
  <r>
    <n v="591"/>
    <s v="Leonore"/>
    <s v="Arpino"/>
    <n v="53112437"/>
    <s v="corriente"/>
    <n v="118199.69"/>
    <d v="2024-12-15T00:00:00"/>
    <d v="2018-03-26T00:00:00"/>
    <s v="MARTINSVILLE"/>
    <s v="Kompóti"/>
    <n v="196"/>
    <s v="Activo"/>
    <n v="376.25229999999999"/>
    <n v="314"/>
    <x v="0"/>
  </r>
  <r>
    <n v="592"/>
    <s v="Kevyn"/>
    <s v="Elloway"/>
    <n v="91300719"/>
    <s v="corriente"/>
    <n v="92150.18"/>
    <d v="2021-11-18T00:00:00"/>
    <d v="2017-02-17T00:00:00"/>
    <s v="FARGO"/>
    <s v="Holice"/>
    <n v="1319"/>
    <s v="Inactivo"/>
    <n v="287.85120000000001"/>
    <n v="320"/>
    <x v="1"/>
  </r>
  <r>
    <n v="593"/>
    <s v="Derward"/>
    <s v="Sandeman"/>
    <n v="21404465"/>
    <s v="ahorros"/>
    <n v="132426.54999999999"/>
    <d v="2020-09-25T00:00:00"/>
    <d v="2018-09-23T00:00:00"/>
    <s v="RICHMOND"/>
    <s v="Stráž nad Nisou"/>
    <n v="1738"/>
    <s v="Inactivo"/>
    <n v="274.58080000000001"/>
    <n v="482"/>
    <x v="0"/>
  </r>
  <r>
    <n v="594"/>
    <s v="Lonna"/>
    <s v="Mandrey"/>
    <n v="122242704"/>
    <s v="ahorros"/>
    <n v="47118.28"/>
    <d v="2023-02-11T00:00:00"/>
    <d v="2017-12-29T00:00:00"/>
    <s v="MORRIS PLAINS"/>
    <s v="Zmiennica"/>
    <n v="869"/>
    <s v="Inactivo"/>
    <n v="329.16989999999998"/>
    <n v="143"/>
    <x v="1"/>
  </r>
  <r>
    <n v="595"/>
    <s v="Morrie"/>
    <s v="Mostin"/>
    <n v="62205937"/>
    <s v="corriente"/>
    <n v="127700.68"/>
    <d v="2020-08-29T00:00:00"/>
    <d v="2016-05-14T00:00:00"/>
    <s v="TUPELO"/>
    <s v="Zubūbah"/>
    <n v="1765"/>
    <s v="Inactivo"/>
    <n v="274.58999999999997"/>
    <n v="465"/>
    <x v="0"/>
  </r>
  <r>
    <n v="596"/>
    <s v="Zed"/>
    <s v="Sessions"/>
    <n v="91501767"/>
    <s v="ahorros"/>
    <n v="75246.880000000005"/>
    <d v="2020-11-09T00:00:00"/>
    <d v="2018-03-23T00:00:00"/>
    <s v="NAPERVILLE"/>
    <s v="Al Ḩāmūl"/>
    <n v="1693"/>
    <s v="Inactivo"/>
    <n v="275.27080000000001"/>
    <n v="273"/>
    <x v="1"/>
  </r>
  <r>
    <n v="597"/>
    <s v="Edin"/>
    <s v="Huglin"/>
    <n v="71922227"/>
    <s v="ahorros"/>
    <n v="119487.77"/>
    <d v="2020-12-12T00:00:00"/>
    <d v="2018-10-19T00:00:00"/>
    <s v="NAPERVILLE"/>
    <s v="Milanówek"/>
    <n v="1660"/>
    <s v="Inactivo"/>
    <n v="275.29239999999999"/>
    <n v="434"/>
    <x v="0"/>
  </r>
  <r>
    <n v="598"/>
    <s v="Thurstan"/>
    <s v="Kubas"/>
    <n v="75906061"/>
    <s v="ahorros"/>
    <n v="181534.56"/>
    <d v="2021-08-14T00:00:00"/>
    <d v="2018-08-19T00:00:00"/>
    <s v="NAPERVILLE"/>
    <s v="Kissónerga"/>
    <n v="1415"/>
    <s v="Inactivo"/>
    <n v="284.56799999999998"/>
    <n v="638"/>
    <x v="0"/>
  </r>
  <r>
    <n v="599"/>
    <s v="Matthus"/>
    <s v="Tanton"/>
    <n v="63106006"/>
    <s v="corriente"/>
    <n v="58408.33"/>
    <d v="2021-12-23T00:00:00"/>
    <d v="2017-12-22T00:00:00"/>
    <s v="RICHMOND"/>
    <s v="Pontes"/>
    <n v="1284"/>
    <s v="Inactivo"/>
    <n v="288.24790000000002"/>
    <n v="203"/>
    <x v="1"/>
  </r>
  <r>
    <n v="600"/>
    <s v="Donovan"/>
    <s v="Sewell"/>
    <n v="72410013"/>
    <s v="corriente"/>
    <n v="55789.06"/>
    <d v="2022-12-11T00:00:00"/>
    <d v="2016-07-21T00:00:00"/>
    <s v="MIDLAND"/>
    <s v="Dongfu"/>
    <n v="931"/>
    <s v="Inactivo"/>
    <n v="322.80259999999998"/>
    <n v="173"/>
    <x v="1"/>
  </r>
  <r>
    <n v="601"/>
    <s v="Nettle"/>
    <s v="Grishelyov"/>
    <n v="22309239"/>
    <s v="ahorros"/>
    <n v="174499.88"/>
    <d v="2022-05-02T00:00:00"/>
    <d v="2016-08-10T00:00:00"/>
    <s v="ENGLEWOOD CLIFFS"/>
    <s v="Zhujiatai"/>
    <n v="1154"/>
    <s v="Inactivo"/>
    <n v="302.82769999999999"/>
    <n v="576"/>
    <x v="0"/>
  </r>
  <r>
    <n v="602"/>
    <s v="Brock"/>
    <s v="Heinl"/>
    <n v="84304243"/>
    <s v="ahorros"/>
    <n v="52532.38"/>
    <d v="2022-12-17T00:00:00"/>
    <d v="2017-03-10T00:00:00"/>
    <s v="PINE BLUFF"/>
    <s v="Yanzhou"/>
    <n v="925"/>
    <s v="Inactivo"/>
    <n v="323.2715"/>
    <n v="163"/>
    <x v="1"/>
  </r>
  <r>
    <n v="603"/>
    <s v="Emogene"/>
    <s v="Casoni"/>
    <n v="125103882"/>
    <s v="ahorros"/>
    <n v="179596.23"/>
    <d v="2020-05-18T00:00:00"/>
    <d v="2017-10-16T00:00:00"/>
    <s v="WINTHROP"/>
    <s v="Tarbes"/>
    <n v="1868"/>
    <s v="Inactivo"/>
    <n v="276.12329999999997"/>
    <n v="650"/>
    <x v="0"/>
  </r>
  <r>
    <n v="604"/>
    <s v="Karalynn"/>
    <s v="Adnett"/>
    <n v="91400525"/>
    <s v="ahorros"/>
    <n v="213403.94"/>
    <d v="2023-08-09T00:00:00"/>
    <d v="2016-07-14T00:00:00"/>
    <s v="PIERRE"/>
    <s v="Tranås"/>
    <n v="690"/>
    <s v="Inactivo"/>
    <n v="349.75"/>
    <n v="610"/>
    <x v="0"/>
  </r>
  <r>
    <n v="605"/>
    <s v="Odelia"/>
    <s v="Philp"/>
    <n v="42204932"/>
    <s v="corriente"/>
    <n v="65883.350000000006"/>
    <d v="2023-04-14T00:00:00"/>
    <d v="2016-03-31T00:00:00"/>
    <s v="MARIETTA"/>
    <s v="Täby"/>
    <n v="807"/>
    <s v="Inactivo"/>
    <n v="340.96019999999999"/>
    <n v="193"/>
    <x v="1"/>
  </r>
  <r>
    <n v="606"/>
    <s v="Rad"/>
    <s v="Kestell"/>
    <n v="72413654"/>
    <s v="corriente"/>
    <n v="122771.7"/>
    <d v="2024-01-16T00:00:00"/>
    <d v="2016-03-02T00:00:00"/>
    <s v="MIDLAND"/>
    <s v="Enköping"/>
    <n v="530"/>
    <s v="Inactivo"/>
    <n v="358.6968"/>
    <n v="342"/>
    <x v="0"/>
  </r>
  <r>
    <n v="607"/>
    <s v="Betsey"/>
    <s v="Brehault"/>
    <n v="322280485"/>
    <s v="corriente"/>
    <n v="208631.5"/>
    <d v="2024-09-02T00:00:00"/>
    <d v="2018-02-07T00:00:00"/>
    <s v="BREA"/>
    <s v="Mafang"/>
    <n v="300"/>
    <s v="Activo"/>
    <n v="375.52530000000002"/>
    <n v="556"/>
    <x v="0"/>
  </r>
  <r>
    <n v="608"/>
    <s v="Neddie"/>
    <s v="Hulke"/>
    <n v="322270356"/>
    <s v="ahorros"/>
    <n v="33424.92"/>
    <d v="2022-10-09T00:00:00"/>
    <d v="2018-01-04T00:00:00"/>
    <s v="ST PAUL"/>
    <s v="Cibogo"/>
    <n v="994"/>
    <s v="Inactivo"/>
    <n v="317.2013"/>
    <n v="105"/>
    <x v="1"/>
  </r>
  <r>
    <n v="609"/>
    <s v="Bev"/>
    <s v="Cromley"/>
    <n v="275071408"/>
    <s v="ahorros"/>
    <n v="137125.60999999999"/>
    <d v="2024-09-02T00:00:00"/>
    <d v="2016-03-15T00:00:00"/>
    <s v="CLEVELAND"/>
    <s v="Santiago do Cacém"/>
    <n v="300"/>
    <s v="Activo"/>
    <n v="375.52530000000002"/>
    <n v="365"/>
    <x v="0"/>
  </r>
  <r>
    <n v="610"/>
    <s v="Ilse"/>
    <s v="Gimber"/>
    <n v="64103833"/>
    <s v="corriente"/>
    <n v="183002.98"/>
    <d v="2020-03-09T00:00:00"/>
    <d v="2016-12-23T00:00:00"/>
    <s v="CINCINNATI"/>
    <s v="Cherkasskoye"/>
    <n v="1938"/>
    <s v="Inactivo"/>
    <n v="272.45249999999999"/>
    <n v="672"/>
    <x v="0"/>
  </r>
  <r>
    <n v="611"/>
    <s v="Elyn"/>
    <s v="Dun"/>
    <n v="86518723"/>
    <s v="corriente"/>
    <n v="124767.92"/>
    <d v="2022-06-02T00:00:00"/>
    <d v="2016-02-07T00:00:00"/>
    <s v="PINE BLUFF"/>
    <s v="Vale Boeiro"/>
    <n v="1123"/>
    <s v="Inactivo"/>
    <n v="306.33800000000002"/>
    <n v="407"/>
    <x v="0"/>
  </r>
  <r>
    <n v="612"/>
    <s v="Heath"/>
    <s v="Dunican"/>
    <n v="123006389"/>
    <s v="corriente"/>
    <n v="12593.07"/>
    <d v="2021-03-26T00:00:00"/>
    <d v="2016-04-01T00:00:00"/>
    <s v="BUFFALO"/>
    <s v="Lanigan"/>
    <n v="1556"/>
    <s v="Inactivo"/>
    <n v="277.66649999999998"/>
    <n v="45"/>
    <x v="1"/>
  </r>
  <r>
    <n v="613"/>
    <s v="Rob"/>
    <s v="Arch"/>
    <n v="284272780"/>
    <s v="ahorros"/>
    <n v="193798.16"/>
    <d v="2020-06-14T00:00:00"/>
    <d v="2017-12-09T00:00:00"/>
    <s v="TUPELO"/>
    <s v="Malabor"/>
    <n v="1841"/>
    <s v="Inactivo"/>
    <n v="276.50810000000001"/>
    <n v="701"/>
    <x v="0"/>
  </r>
  <r>
    <n v="614"/>
    <s v="Maurise"/>
    <s v="Brigman"/>
    <n v="75908218"/>
    <s v="corriente"/>
    <n v="111070.21"/>
    <d v="2024-11-06T00:00:00"/>
    <d v="2016-05-08T00:00:00"/>
    <s v="NAPERVILLE"/>
    <s v="Bireun"/>
    <n v="235"/>
    <s v="Activo"/>
    <n v="376.48"/>
    <n v="295"/>
    <x v="0"/>
  </r>
  <r>
    <n v="615"/>
    <s v="Trenna"/>
    <s v="Malzard"/>
    <n v="55002480"/>
    <s v="corriente"/>
    <n v="107734.53"/>
    <d v="2021-11-05T00:00:00"/>
    <d v="2016-11-02T00:00:00"/>
    <s v="HERMITAGE"/>
    <s v="Sarkand"/>
    <n v="1332"/>
    <s v="Inactivo"/>
    <n v="287.49630000000002"/>
    <n v="375"/>
    <x v="0"/>
  </r>
  <r>
    <n v="616"/>
    <s v="Charlton"/>
    <s v="McCart"/>
    <n v="111312739"/>
    <s v="ahorros"/>
    <n v="197650.93"/>
    <d v="2025-01-30T00:00:00"/>
    <d v="2018-10-11T00:00:00"/>
    <s v="BAIRD"/>
    <s v="El Puerto"/>
    <n v="150"/>
    <s v="Activo"/>
    <n v="378.1069"/>
    <n v="523"/>
    <x v="0"/>
  </r>
  <r>
    <n v="617"/>
    <s v="Magnum"/>
    <s v="Webborn"/>
    <n v="71006282"/>
    <s v="ahorros"/>
    <n v="124264.28"/>
    <d v="2025-01-12T00:00:00"/>
    <d v="2016-01-30T00:00:00"/>
    <s v="LOS ANGELES"/>
    <s v="Árgos"/>
    <n v="168"/>
    <s v="Activo"/>
    <n v="377.16980000000001"/>
    <n v="329"/>
    <x v="0"/>
  </r>
  <r>
    <n v="618"/>
    <s v="Ardath"/>
    <s v="Toffler"/>
    <n v="111921230"/>
    <s v="corriente"/>
    <n v="120449.3"/>
    <d v="2020-05-23T00:00:00"/>
    <d v="2017-06-17T00:00:00"/>
    <s v="CLEBURNE"/>
    <s v="Ghormach"/>
    <n v="1863"/>
    <s v="Inactivo"/>
    <n v="276.19450000000001"/>
    <n v="436"/>
    <x v="0"/>
  </r>
  <r>
    <n v="619"/>
    <s v="Jeremiah"/>
    <s v="Lind"/>
    <n v="325070760"/>
    <s v="ahorros"/>
    <n v="111447.65"/>
    <d v="2023-01-16T00:00:00"/>
    <d v="2017-05-25T00:00:00"/>
    <s v="TAMPA"/>
    <s v="Jiulong"/>
    <n v="895"/>
    <s v="Inactivo"/>
    <n v="325.73110000000003"/>
    <n v="342"/>
    <x v="0"/>
  </r>
  <r>
    <n v="620"/>
    <s v="Oberon"/>
    <s v="Catterell"/>
    <n v="211174136"/>
    <s v="corriente"/>
    <n v="195066.45"/>
    <d v="2021-09-02T00:00:00"/>
    <d v="2016-05-09T00:00:00"/>
    <s v="NEW BRITAIN"/>
    <s v="Remscheid"/>
    <n v="1396"/>
    <s v="Inactivo"/>
    <n v="285.09179999999998"/>
    <n v="684"/>
    <x v="0"/>
  </r>
  <r>
    <n v="621"/>
    <s v="Helen-elizabeth"/>
    <s v="Manby"/>
    <n v="122242034"/>
    <s v="ahorros"/>
    <n v="131129.26999999999"/>
    <d v="2023-01-18T00:00:00"/>
    <d v="2018-04-08T00:00:00"/>
    <s v="SAN DIEGO"/>
    <s v="El Aguilar"/>
    <n v="893"/>
    <s v="Inactivo"/>
    <n v="325.99439999999998"/>
    <n v="402"/>
    <x v="0"/>
  </r>
  <r>
    <n v="622"/>
    <s v="Corrie"/>
    <s v="Zavattieri"/>
    <n v="81511754"/>
    <s v="corriente"/>
    <n v="179659.83"/>
    <d v="2020-05-26T00:00:00"/>
    <d v="2018-05-23T00:00:00"/>
    <s v="MONETT"/>
    <s v="Leudelange"/>
    <n v="1860"/>
    <s v="Inactivo"/>
    <n v="276.2373"/>
    <n v="650"/>
    <x v="0"/>
  </r>
  <r>
    <n v="623"/>
    <s v="Tiffy"/>
    <s v="Arkcoll"/>
    <n v="11303110"/>
    <s v="ahorros"/>
    <n v="67176.97"/>
    <d v="2020-06-14T00:00:00"/>
    <d v="2017-10-15T00:00:00"/>
    <s v="LYNN"/>
    <s v="Bei’an"/>
    <n v="1841"/>
    <s v="Inactivo"/>
    <n v="276.50810000000001"/>
    <n v="243"/>
    <x v="1"/>
  </r>
  <r>
    <n v="624"/>
    <s v="Mackenzie"/>
    <s v="Czaja"/>
    <n v="124300806"/>
    <s v="corriente"/>
    <n v="156950.71"/>
    <d v="2025-03-26T00:00:00"/>
    <d v="2016-01-05T00:00:00"/>
    <s v="EVANSTON"/>
    <s v="Lukashin"/>
    <n v="95"/>
    <s v="Activo"/>
    <n v="384.10809999999998"/>
    <n v="409"/>
    <x v="0"/>
  </r>
  <r>
    <n v="625"/>
    <s v="Willie"/>
    <s v="Brailsford"/>
    <n v="31302638"/>
    <s v="ahorros"/>
    <n v="159291.82"/>
    <d v="2023-12-24T00:00:00"/>
    <d v="2017-04-15T00:00:00"/>
    <s v="HERMITAGE"/>
    <s v="Sindangsari"/>
    <n v="553"/>
    <s v="Inactivo"/>
    <n v="357.45350000000002"/>
    <n v="446"/>
    <x v="0"/>
  </r>
  <r>
    <n v="626"/>
    <s v="Alia"/>
    <s v="Martlew"/>
    <n v="91904267"/>
    <s v="ahorros"/>
    <n v="106924.89"/>
    <d v="2020-04-21T00:00:00"/>
    <d v="2017-03-13T00:00:00"/>
    <s v="LE CENTER"/>
    <s v="Delft"/>
    <n v="1895"/>
    <s v="Inactivo"/>
    <n v="274.82810000000001"/>
    <n v="389"/>
    <x v="0"/>
  </r>
  <r>
    <n v="627"/>
    <s v="Bernadine"/>
    <s v="Krolik"/>
    <n v="64102397"/>
    <s v="ahorros"/>
    <n v="33452.870000000003"/>
    <d v="2021-06-22T00:00:00"/>
    <d v="2017-11-08T00:00:00"/>
    <s v="BIRMINGHAM"/>
    <s v="Huillapima"/>
    <n v="1468"/>
    <s v="Inactivo"/>
    <n v="282.5421"/>
    <n v="118"/>
    <x v="1"/>
  </r>
  <r>
    <n v="628"/>
    <s v="Alfie"/>
    <s v="Goodrich"/>
    <n v="111924787"/>
    <s v="corriente"/>
    <n v="27953.81"/>
    <d v="2020-10-22T00:00:00"/>
    <d v="2017-07-13T00:00:00"/>
    <s v="WICHITA FALLS"/>
    <s v="Kowale"/>
    <n v="1711"/>
    <s v="Inactivo"/>
    <n v="274.76060000000001"/>
    <n v="102"/>
    <x v="1"/>
  </r>
  <r>
    <n v="629"/>
    <s v="Susanne"/>
    <s v="Thomen"/>
    <n v="51400361"/>
    <s v="corriente"/>
    <n v="176185.17"/>
    <d v="2024-10-26T00:00:00"/>
    <d v="2018-05-27T00:00:00"/>
    <s v="RICHMOND"/>
    <s v="Bridgetown"/>
    <n v="246"/>
    <s v="Activo"/>
    <n v="376.15989999999999"/>
    <n v="468"/>
    <x v="0"/>
  </r>
  <r>
    <n v="630"/>
    <s v="Sadie"/>
    <s v="Pollack"/>
    <n v="111924392"/>
    <s v="ahorros"/>
    <n v="171641.99"/>
    <d v="2020-04-14T00:00:00"/>
    <d v="2018-11-24T00:00:00"/>
    <s v="FRISCO"/>
    <s v="Saurimo"/>
    <n v="1902"/>
    <s v="Inactivo"/>
    <n v="274.45679999999999"/>
    <n v="625"/>
    <x v="0"/>
  </r>
  <r>
    <n v="631"/>
    <s v="Lyn"/>
    <s v="Lilian"/>
    <n v="83901650"/>
    <s v="corriente"/>
    <n v="62125.09"/>
    <d v="2022-03-29T00:00:00"/>
    <d v="2016-07-01T00:00:00"/>
    <s v="FRANKFORT"/>
    <s v="Horní Bříza"/>
    <n v="1188"/>
    <s v="Inactivo"/>
    <n v="298.46679999999998"/>
    <n v="208"/>
    <x v="1"/>
  </r>
  <r>
    <n v="632"/>
    <s v="Kerianne"/>
    <s v="Vanini"/>
    <n v="114902683"/>
    <s v="ahorros"/>
    <n v="205766.19"/>
    <d v="2023-09-05T00:00:00"/>
    <d v="2018-01-02T00:00:00"/>
    <s v="SAN DIEGO"/>
    <s v="Fuerte"/>
    <n v="663"/>
    <s v="Inactivo"/>
    <n v="351.13720000000001"/>
    <n v="586"/>
    <x v="0"/>
  </r>
  <r>
    <n v="633"/>
    <s v="Irita"/>
    <s v="Jenkyn"/>
    <n v="122105728"/>
    <s v="ahorros"/>
    <n v="198155.19"/>
    <d v="2021-03-11T00:00:00"/>
    <d v="2016-06-26T00:00:00"/>
    <s v="OKLAHOMA CITY"/>
    <s v="Chernogorsk"/>
    <n v="1571"/>
    <s v="Inactivo"/>
    <n v="276.87670000000003"/>
    <n v="716"/>
    <x v="0"/>
  </r>
  <r>
    <n v="634"/>
    <s v="Elora"/>
    <s v="Milkin"/>
    <n v="107003418"/>
    <s v="ahorros"/>
    <n v="191146.41"/>
    <d v="2022-10-28T00:00:00"/>
    <d v="2016-08-23T00:00:00"/>
    <s v="BRUSH"/>
    <s v="Sendai"/>
    <n v="975"/>
    <s v="Inactivo"/>
    <n v="319.08210000000003"/>
    <n v="599"/>
    <x v="0"/>
  </r>
  <r>
    <n v="635"/>
    <s v="Bianca"/>
    <s v="Crimin"/>
    <n v="221371246"/>
    <s v="corriente"/>
    <n v="196874.14"/>
    <d v="2023-04-16T00:00:00"/>
    <d v="2017-08-01T00:00:00"/>
    <s v="RICHMOND"/>
    <s v="Laidian"/>
    <n v="805"/>
    <s v="Inactivo"/>
    <n v="341.2602"/>
    <n v="577"/>
    <x v="0"/>
  </r>
  <r>
    <n v="636"/>
    <s v="Nikkie"/>
    <s v="Gregr"/>
    <n v="113122655"/>
    <s v="ahorros"/>
    <n v="22119"/>
    <d v="2021-07-07T00:00:00"/>
    <d v="2017-04-18T00:00:00"/>
    <s v="SUGAR LAND"/>
    <s v="Nginjen"/>
    <n v="1453"/>
    <s v="Inactivo"/>
    <n v="283.9513"/>
    <n v="78"/>
    <x v="1"/>
  </r>
  <r>
    <n v="637"/>
    <s v="Yolande"/>
    <s v="Ateggart"/>
    <n v="43305092"/>
    <s v="corriente"/>
    <n v="88810.3"/>
    <d v="2022-08-10T00:00:00"/>
    <d v="2017-09-09T00:00:00"/>
    <s v="LATROBE"/>
    <s v="Naran-mandokhu Somon"/>
    <n v="1054"/>
    <s v="Inactivo"/>
    <n v="311.85239999999999"/>
    <n v="285"/>
    <x v="1"/>
  </r>
  <r>
    <n v="638"/>
    <s v="Ardith"/>
    <s v="Foat"/>
    <n v="101102496"/>
    <s v="ahorros"/>
    <n v="69844.44"/>
    <d v="2024-03-22T00:00:00"/>
    <d v="2017-07-18T00:00:00"/>
    <s v="ELLSWORTH"/>
    <s v="Danao"/>
    <n v="464"/>
    <s v="Inactivo"/>
    <n v="364.46429999999998"/>
    <n v="192"/>
    <x v="1"/>
  </r>
  <r>
    <n v="639"/>
    <s v="Jed"/>
    <s v="Heakins"/>
    <n v="84302122"/>
    <s v="ahorros"/>
    <n v="111017.05"/>
    <d v="2023-10-08T00:00:00"/>
    <d v="2017-01-14T00:00:00"/>
    <s v="JACKSON"/>
    <s v="Kansas City"/>
    <n v="630"/>
    <s v="Inactivo"/>
    <n v="353.58850000000001"/>
    <n v="314"/>
    <x v="1"/>
  </r>
  <r>
    <n v="640"/>
    <s v="Terrell"/>
    <s v="Sansun"/>
    <n v="91204763"/>
    <s v="corriente"/>
    <n v="65265.94"/>
    <d v="2023-04-27T00:00:00"/>
    <d v="2018-02-18T00:00:00"/>
    <s v="HENNING"/>
    <s v="Maloco"/>
    <n v="794"/>
    <s v="Inactivo"/>
    <n v="342.56970000000001"/>
    <n v="191"/>
    <x v="1"/>
  </r>
  <r>
    <n v="641"/>
    <s v="Ofella"/>
    <s v="Hedworth"/>
    <n v="267091250"/>
    <s v="corriente"/>
    <n v="213551.09"/>
    <d v="2024-06-23T00:00:00"/>
    <d v="2018-06-10T00:00:00"/>
    <s v="LAFAYETTE"/>
    <s v="Pulau Pinang"/>
    <n v="371"/>
    <s v="Inactivo"/>
    <n v="372.71870000000001"/>
    <n v="573"/>
    <x v="0"/>
  </r>
  <r>
    <n v="642"/>
    <s v="Chrotoem"/>
    <s v="Gullick"/>
    <n v="123200088"/>
    <s v="corriente"/>
    <n v="114642.21"/>
    <d v="2024-05-23T00:00:00"/>
    <d v="2017-04-02T00:00:00"/>
    <s v="LAKEWOOD"/>
    <s v="Ngeru"/>
    <n v="402"/>
    <s v="Inactivo"/>
    <n v="370.6712"/>
    <n v="309"/>
    <x v="1"/>
  </r>
  <r>
    <n v="643"/>
    <s v="Oliver"/>
    <s v="Pidgen"/>
    <n v="221471094"/>
    <s v="corriente"/>
    <n v="194670.67"/>
    <d v="2020-09-06T00:00:00"/>
    <d v="2016-12-04T00:00:00"/>
    <s v="HICKSVILLE"/>
    <s v="Chaka"/>
    <n v="1757"/>
    <s v="Inactivo"/>
    <n v="274.58999999999997"/>
    <n v="709"/>
    <x v="0"/>
  </r>
  <r>
    <n v="644"/>
    <s v="Westbrook"/>
    <s v="Leek"/>
    <n v="61204654"/>
    <s v="corriente"/>
    <n v="149463.19"/>
    <d v="2024-05-30T00:00:00"/>
    <d v="2016-04-20T00:00:00"/>
    <s v="CHAS"/>
    <s v="Sel’tso"/>
    <n v="395"/>
    <s v="Inactivo"/>
    <n v="371.16390000000001"/>
    <n v="403"/>
    <x v="0"/>
  </r>
  <r>
    <n v="645"/>
    <s v="Susette"/>
    <s v="Stobart"/>
    <n v="92905168"/>
    <s v="ahorros"/>
    <n v="19249.16"/>
    <d v="2023-05-20T00:00:00"/>
    <d v="2017-01-14T00:00:00"/>
    <s v="MINNEAPOLIS"/>
    <s v="Colombes"/>
    <n v="771"/>
    <s v="Inactivo"/>
    <n v="345.15570000000002"/>
    <n v="56"/>
    <x v="1"/>
  </r>
  <r>
    <n v="646"/>
    <s v="Annamaria"/>
    <s v="Surgener"/>
    <n v="114904979"/>
    <s v="ahorros"/>
    <n v="198153.01"/>
    <d v="2022-12-13T00:00:00"/>
    <d v="2016-06-23T00:00:00"/>
    <s v="SUGARLAND"/>
    <s v="Shcherbinka"/>
    <n v="929"/>
    <s v="Inactivo"/>
    <n v="322.95710000000003"/>
    <n v="614"/>
    <x v="0"/>
  </r>
  <r>
    <n v="647"/>
    <s v="Edin"/>
    <s v="Arendsen"/>
    <n v="122241941"/>
    <s v="corriente"/>
    <n v="53734.11"/>
    <d v="2022-06-12T00:00:00"/>
    <d v="2016-03-08T00:00:00"/>
    <s v="SAN DIEGO"/>
    <s v="Chropyně"/>
    <n v="1113"/>
    <s v="Inactivo"/>
    <n v="307.56799999999998"/>
    <n v="175"/>
    <x v="1"/>
  </r>
  <r>
    <n v="648"/>
    <s v="Nevsa"/>
    <s v="Grogono"/>
    <n v="122242924"/>
    <s v="corriente"/>
    <n v="79848.77"/>
    <d v="2022-04-23T00:00:00"/>
    <d v="2016-09-13T00:00:00"/>
    <s v="CARLSBAD"/>
    <s v="Stan-Bekhtemir"/>
    <n v="1163"/>
    <s v="Inactivo"/>
    <n v="301.92509999999999"/>
    <n v="264"/>
    <x v="1"/>
  </r>
  <r>
    <n v="649"/>
    <s v="Sorcha"/>
    <s v="Seif"/>
    <n v="111316887"/>
    <s v="corriente"/>
    <n v="205093.64"/>
    <d v="2024-12-06T00:00:00"/>
    <d v="2017-01-02T00:00:00"/>
    <s v="LUBBOCK"/>
    <s v="Rueil-Malmaison"/>
    <n v="205"/>
    <s v="Activo"/>
    <n v="376.39920000000001"/>
    <n v="545"/>
    <x v="0"/>
  </r>
  <r>
    <n v="650"/>
    <s v="Rosmunda"/>
    <s v="Milmoe"/>
    <n v="111906161"/>
    <s v="ahorros"/>
    <n v="216138.31"/>
    <d v="2023-03-17T00:00:00"/>
    <d v="2017-11-15T00:00:00"/>
    <s v="GRANBURY"/>
    <s v="Baltimore"/>
    <n v="835"/>
    <s v="Inactivo"/>
    <n v="335.92750000000001"/>
    <n v="643"/>
    <x v="0"/>
  </r>
  <r>
    <n v="651"/>
    <s v="Miranda"/>
    <s v="Wedon"/>
    <n v="31313261"/>
    <s v="ahorros"/>
    <n v="54302.3"/>
    <d v="2022-09-14T00:00:00"/>
    <d v="2017-03-06T00:00:00"/>
    <s v="HERMITAGE"/>
    <s v="Pitogo"/>
    <n v="1019"/>
    <s v="Inactivo"/>
    <n v="314.55459999999999"/>
    <n v="173"/>
    <x v="1"/>
  </r>
  <r>
    <n v="652"/>
    <s v="Lira"/>
    <s v="Blackman"/>
    <n v="101101659"/>
    <s v="corriente"/>
    <n v="185280.29"/>
    <d v="2024-12-01T00:00:00"/>
    <d v="2018-10-22T00:00:00"/>
    <s v="PRATT"/>
    <s v="Paraguaçu Paulista"/>
    <n v="210"/>
    <s v="Activo"/>
    <n v="376.48079999999999"/>
    <n v="492"/>
    <x v="0"/>
  </r>
  <r>
    <n v="653"/>
    <s v="Shannen"/>
    <s v="Upsale"/>
    <n v="21300640"/>
    <s v="ahorros"/>
    <n v="51160.52"/>
    <d v="2022-10-19T00:00:00"/>
    <d v="2016-07-30T00:00:00"/>
    <s v="BUFFALO"/>
    <s v="Albany"/>
    <n v="984"/>
    <s v="Inactivo"/>
    <n v="318.22570000000002"/>
    <n v="161"/>
    <x v="1"/>
  </r>
  <r>
    <n v="654"/>
    <s v="Gianina"/>
    <s v="Orth"/>
    <n v="101000019"/>
    <s v="corriente"/>
    <n v="188051"/>
    <d v="2025-01-09T00:00:00"/>
    <d v="2016-08-03T00:00:00"/>
    <s v="KANSAS CITY"/>
    <s v="Al Qūşīyah"/>
    <n v="171"/>
    <s v="Activo"/>
    <n v="377.07130000000001"/>
    <n v="499"/>
    <x v="0"/>
  </r>
  <r>
    <n v="655"/>
    <s v="Sax"/>
    <s v="Melvin"/>
    <n v="103100467"/>
    <s v="ahorros"/>
    <n v="41470.33"/>
    <d v="2023-10-25T00:00:00"/>
    <d v="2017-07-28T00:00:00"/>
    <s v="CHICKASHA"/>
    <s v="Terneuzen"/>
    <n v="613"/>
    <s v="Inactivo"/>
    <n v="354.78030000000001"/>
    <n v="117"/>
    <x v="1"/>
  </r>
  <r>
    <n v="656"/>
    <s v="Verena"/>
    <s v="Riordan"/>
    <n v="44115443"/>
    <s v="ahorros"/>
    <n v="103254.8"/>
    <d v="2022-04-16T00:00:00"/>
    <d v="2018-08-20T00:00:00"/>
    <s v="TAMPA"/>
    <s v="El Potrero"/>
    <n v="1170"/>
    <s v="Inactivo"/>
    <n v="301.22489999999999"/>
    <n v="343"/>
    <x v="0"/>
  </r>
  <r>
    <n v="657"/>
    <s v="Isador"/>
    <s v="Greenshiels"/>
    <n v="81205112"/>
    <s v="corriente"/>
    <n v="138799.37"/>
    <d v="2023-10-19T00:00:00"/>
    <d v="2018-04-19T00:00:00"/>
    <s v="VANDALIA"/>
    <s v="Ilopango"/>
    <n v="619"/>
    <s v="Inactivo"/>
    <n v="354.41070000000002"/>
    <n v="392"/>
    <x v="0"/>
  </r>
  <r>
    <n v="658"/>
    <s v="Otis"/>
    <s v="Dutt"/>
    <n v="121136785"/>
    <s v="ahorros"/>
    <n v="52103.06"/>
    <d v="2023-08-13T00:00:00"/>
    <d v="2017-04-08T00:00:00"/>
    <s v="PORTLAND"/>
    <s v="Asahikawa"/>
    <n v="686"/>
    <s v="Inactivo"/>
    <n v="349.8852"/>
    <n v="149"/>
    <x v="1"/>
  </r>
  <r>
    <n v="659"/>
    <s v="Bendix"/>
    <s v="Blastock"/>
    <n v="42100175"/>
    <s v="corriente"/>
    <n v="178192.86"/>
    <d v="2022-02-21T00:00:00"/>
    <d v="2017-09-05T00:00:00"/>
    <s v="ST. PAUL"/>
    <s v="Sandakan"/>
    <n v="1224"/>
    <s v="Inactivo"/>
    <n v="292.46460000000002"/>
    <n v="609"/>
    <x v="0"/>
  </r>
  <r>
    <n v="660"/>
    <s v="Wolfy"/>
    <s v="Roxbrough"/>
    <n v="71923190"/>
    <s v="ahorros"/>
    <n v="61759.58"/>
    <d v="2020-04-22T00:00:00"/>
    <d v="2018-06-21T00:00:00"/>
    <s v="CINCINNATI"/>
    <s v="Pagelaran"/>
    <n v="1894"/>
    <s v="Inactivo"/>
    <n v="274.8802"/>
    <n v="225"/>
    <x v="1"/>
  </r>
  <r>
    <n v="661"/>
    <s v="Gilli"/>
    <s v="Poyser"/>
    <n v="125107765"/>
    <s v="ahorros"/>
    <n v="210629.73"/>
    <d v="2024-11-20T00:00:00"/>
    <d v="2016-08-04T00:00:00"/>
    <s v="SPOKANE"/>
    <s v="Verkhnyaya Tura"/>
    <n v="221"/>
    <s v="Activo"/>
    <n v="376.66039999999998"/>
    <n v="559"/>
    <x v="0"/>
  </r>
  <r>
    <n v="662"/>
    <s v="Angeli"/>
    <s v="Heinle"/>
    <n v="11101613"/>
    <s v="corriente"/>
    <n v="25648.21"/>
    <d v="2020-06-03T00:00:00"/>
    <d v="2018-08-16T00:00:00"/>
    <s v="NEW BRITAIN"/>
    <s v="Reims"/>
    <n v="1852"/>
    <s v="Inactivo"/>
    <n v="276.35129999999998"/>
    <n v="93"/>
    <x v="1"/>
  </r>
  <r>
    <n v="663"/>
    <s v="Bamby"/>
    <s v="Monro"/>
    <n v="21409567"/>
    <s v="ahorros"/>
    <n v="97195.22"/>
    <d v="2020-07-19T00:00:00"/>
    <d v="2018-02-24T00:00:00"/>
    <s v="RICHMOND"/>
    <s v="Huurch"/>
    <n v="1806"/>
    <s v="Inactivo"/>
    <n v="275.50200000000001"/>
    <n v="353"/>
    <x v="0"/>
  </r>
  <r>
    <n v="664"/>
    <s v="Nanon"/>
    <s v="Tite"/>
    <n v="111914302"/>
    <s v="corriente"/>
    <n v="93062.84"/>
    <d v="2021-10-19T00:00:00"/>
    <d v="2017-09-25T00:00:00"/>
    <s v="GILMER"/>
    <s v="Sabana Grande"/>
    <n v="1349"/>
    <s v="Inactivo"/>
    <n v="286.899"/>
    <n v="324"/>
    <x v="0"/>
  </r>
  <r>
    <n v="665"/>
    <s v="Tobye"/>
    <s v="Hodgin"/>
    <n v="121137506"/>
    <s v="corriente"/>
    <n v="66919.850000000006"/>
    <d v="2020-06-12T00:00:00"/>
    <d v="2018-04-11T00:00:00"/>
    <s v="HAZELWOOD"/>
    <s v="Novaya Chigla"/>
    <n v="1843"/>
    <s v="Inactivo"/>
    <n v="276.4796"/>
    <n v="242"/>
    <x v="1"/>
  </r>
  <r>
    <n v="666"/>
    <s v="Franklin"/>
    <s v="Tincey"/>
    <n v="111901467"/>
    <s v="ahorros"/>
    <n v="95512.2"/>
    <d v="2020-07-25T00:00:00"/>
    <d v="2016-11-12T00:00:00"/>
    <s v="GAINESVILLE"/>
    <s v="Mionica"/>
    <n v="1800"/>
    <s v="Inactivo"/>
    <n v="275.29910000000001"/>
    <n v="347"/>
    <x v="0"/>
  </r>
  <r>
    <n v="667"/>
    <s v="Jud"/>
    <s v="Novello"/>
    <n v="51402961"/>
    <s v="corriente"/>
    <n v="66554.17"/>
    <d v="2021-10-12T00:00:00"/>
    <d v="2016-08-09T00:00:00"/>
    <s v="MINNEAPOLIS"/>
    <s v="Donglai"/>
    <n v="1356"/>
    <s v="Inactivo"/>
    <n v="286.62990000000002"/>
    <n v="232"/>
    <x v="1"/>
  </r>
  <r>
    <n v="668"/>
    <s v="Loralie"/>
    <s v="Van't Hoff"/>
    <n v="26014041"/>
    <s v="ahorros"/>
    <n v="148928.71"/>
    <d v="2024-11-16T00:00:00"/>
    <d v="2017-05-23T00:00:00"/>
    <s v="WAYNE"/>
    <s v="Banjar Bau Kawan"/>
    <n v="225"/>
    <s v="Activo"/>
    <n v="376.72579999999999"/>
    <n v="395"/>
    <x v="0"/>
  </r>
  <r>
    <n v="669"/>
    <s v="Nonna"/>
    <s v="Borkin"/>
    <n v="86506955"/>
    <s v="ahorros"/>
    <n v="212993.9"/>
    <d v="2023-12-04T00:00:00"/>
    <d v="2016-11-12T00:00:00"/>
    <s v="PINE BLUFF"/>
    <s v="Enschede"/>
    <n v="573"/>
    <s v="Inactivo"/>
    <n v="356.64049999999997"/>
    <n v="597"/>
    <x v="0"/>
  </r>
  <r>
    <n v="670"/>
    <s v="Ronica"/>
    <s v="Renshell"/>
    <n v="72412972"/>
    <s v="corriente"/>
    <n v="85470.74"/>
    <d v="2022-07-17T00:00:00"/>
    <d v="2017-09-01T00:00:00"/>
    <s v="BELDING"/>
    <s v="Dadong’ao"/>
    <n v="1078"/>
    <s v="Inactivo"/>
    <n v="310.6266"/>
    <n v="275"/>
    <x v="1"/>
  </r>
  <r>
    <n v="671"/>
    <s v="Emlyn"/>
    <s v="Hairsine"/>
    <n v="11402008"/>
    <s v="ahorros"/>
    <n v="107324.13"/>
    <d v="2020-03-23T00:00:00"/>
    <d v="2016-04-30T00:00:00"/>
    <s v="ALBANY"/>
    <s v="Bagani"/>
    <n v="1924"/>
    <s v="Inactivo"/>
    <n v="273.1592"/>
    <n v="393"/>
    <x v="0"/>
  </r>
  <r>
    <n v="672"/>
    <s v="Augustin"/>
    <s v="Lait"/>
    <n v="91406972"/>
    <s v="corriente"/>
    <n v="136752.19"/>
    <d v="2023-01-16T00:00:00"/>
    <d v="2018-03-07T00:00:00"/>
    <s v="AVON"/>
    <s v="Vitry-sur-Seine"/>
    <n v="895"/>
    <s v="Inactivo"/>
    <n v="325.73110000000003"/>
    <n v="420"/>
    <x v="0"/>
  </r>
  <r>
    <n v="673"/>
    <s v="Krista"/>
    <s v="Laundon"/>
    <n v="71118798"/>
    <s v="ahorros"/>
    <n v="166166.45000000001"/>
    <d v="2021-04-05T00:00:00"/>
    <d v="2018-02-23T00:00:00"/>
    <s v="ORANGEVILLE"/>
    <s v="Offa"/>
    <n v="1546"/>
    <s v="Inactivo"/>
    <n v="278.23849999999999"/>
    <n v="597"/>
    <x v="0"/>
  </r>
  <r>
    <n v="674"/>
    <s v="Ezmeralda"/>
    <s v="Yeoland"/>
    <n v="86518723"/>
    <s v="ahorros"/>
    <n v="73742.2"/>
    <d v="2021-11-03T00:00:00"/>
    <d v="2017-04-05T00:00:00"/>
    <s v="PINE BLUFF"/>
    <s v="Umuarama"/>
    <n v="1334"/>
    <s v="Inactivo"/>
    <n v="287.42599999999999"/>
    <n v="257"/>
    <x v="1"/>
  </r>
  <r>
    <n v="675"/>
    <s v="Cass"/>
    <s v="Olufsen"/>
    <n v="82000109"/>
    <s v="ahorros"/>
    <n v="12416.25"/>
    <d v="2025-05-15T00:00:00"/>
    <d v="2018-03-23T00:00:00"/>
    <s v="BIRMINGHAM"/>
    <s v="Mnogoudobnoye"/>
    <n v="45"/>
    <s v="Activo"/>
    <n v="388.93950000000001"/>
    <n v="32"/>
    <x v="0"/>
  </r>
  <r>
    <n v="676"/>
    <s v="Marya"/>
    <s v="Beardshaw"/>
    <n v="111916326"/>
    <s v="ahorros"/>
    <n v="69885.08"/>
    <d v="2021-07-21T00:00:00"/>
    <d v="2016-06-07T00:00:00"/>
    <s v="MCKINNEY"/>
    <s v="Unquillo"/>
    <n v="1439"/>
    <s v="Inactivo"/>
    <n v="284.6782"/>
    <n v="245"/>
    <x v="1"/>
  </r>
  <r>
    <n v="677"/>
    <s v="Marnia"/>
    <s v="Grocott"/>
    <n v="26004970"/>
    <s v="ahorros"/>
    <n v="206995.49"/>
    <d v="2020-08-24T00:00:00"/>
    <d v="2018-09-02T00:00:00"/>
    <s v="EL MONTE"/>
    <s v="Mendenrejo"/>
    <n v="1770"/>
    <s v="Inactivo"/>
    <n v="274.58999999999997"/>
    <n v="754"/>
    <x v="0"/>
  </r>
  <r>
    <n v="678"/>
    <s v="Sancho"/>
    <s v="Adlington"/>
    <n v="72404142"/>
    <s v="corriente"/>
    <n v="157977.28"/>
    <d v="2022-06-11T00:00:00"/>
    <d v="2016-10-23T00:00:00"/>
    <s v="MIDLAND"/>
    <s v="Qingyang"/>
    <n v="1114"/>
    <s v="Inactivo"/>
    <n v="307.44479999999999"/>
    <n v="514"/>
    <x v="0"/>
  </r>
  <r>
    <n v="679"/>
    <s v="Valera"/>
    <s v="Oloshin"/>
    <n v="111103317"/>
    <s v="ahorros"/>
    <n v="184571.96"/>
    <d v="2021-01-02T00:00:00"/>
    <d v="2018-12-09T00:00:00"/>
    <s v="RICHMOND"/>
    <s v="Paprotnia"/>
    <n v="1639"/>
    <s v="Inactivo"/>
    <n v="275.036"/>
    <n v="671"/>
    <x v="0"/>
  </r>
  <r>
    <n v="680"/>
    <s v="Laurie"/>
    <s v="Fusco"/>
    <n v="211174369"/>
    <s v="corriente"/>
    <n v="20232.75"/>
    <d v="2025-05-24T00:00:00"/>
    <d v="2017-07-16T00:00:00"/>
    <s v="ALBANY"/>
    <s v="Ti-n-Essako"/>
    <n v="36"/>
    <s v="Activo"/>
    <n v="389.68299999999999"/>
    <n v="52"/>
    <x v="0"/>
  </r>
  <r>
    <n v="681"/>
    <s v="Kath"/>
    <s v="Candy"/>
    <n v="53107963"/>
    <s v="corriente"/>
    <n v="57971.64"/>
    <d v="2023-11-07T00:00:00"/>
    <d v="2018-05-10T00:00:00"/>
    <s v="MINNEAPOLIS"/>
    <s v="Kenamoen"/>
    <n v="600"/>
    <s v="Inactivo"/>
    <n v="355.58249999999998"/>
    <n v="163"/>
    <x v="1"/>
  </r>
  <r>
    <n v="682"/>
    <s v="Danielle"/>
    <s v="Nassau"/>
    <n v="111915770"/>
    <s v="corriente"/>
    <n v="89181.02"/>
    <d v="2023-08-28T00:00:00"/>
    <d v="2017-07-14T00:00:00"/>
    <s v="DUBLIN"/>
    <s v="Manta"/>
    <n v="671"/>
    <s v="Inactivo"/>
    <n v="350.68549999999999"/>
    <n v="254"/>
    <x v="1"/>
  </r>
  <r>
    <n v="683"/>
    <s v="Rosabelle"/>
    <s v="Rangall"/>
    <n v="43317679"/>
    <s v="ahorros"/>
    <n v="151168.84"/>
    <d v="2024-05-08T00:00:00"/>
    <d v="2018-01-19T00:00:00"/>
    <s v="HERMITAGE"/>
    <s v="Dziemiany"/>
    <n v="417"/>
    <s v="Inactivo"/>
    <n v="369.50689999999997"/>
    <n v="409"/>
    <x v="0"/>
  </r>
  <r>
    <n v="684"/>
    <s v="Arel"/>
    <s v="Oty"/>
    <n v="86518723"/>
    <s v="corriente"/>
    <n v="179991.13"/>
    <d v="2020-09-03T00:00:00"/>
    <d v="2018-08-26T00:00:00"/>
    <s v="PINE BLUFF"/>
    <s v="San Marcos"/>
    <n v="1760"/>
    <s v="Inactivo"/>
    <n v="274.58999999999997"/>
    <n v="655"/>
    <x v="0"/>
  </r>
  <r>
    <n v="685"/>
    <s v="Nikolai"/>
    <s v="Aspinwall"/>
    <n v="221371822"/>
    <s v="corriente"/>
    <n v="40342.410000000003"/>
    <d v="2023-09-19T00:00:00"/>
    <d v="2016-09-02T00:00:00"/>
    <s v="BUFFALO"/>
    <s v="Svetogorsk"/>
    <n v="649"/>
    <s v="Inactivo"/>
    <n v="352.0299"/>
    <n v="115"/>
    <x v="1"/>
  </r>
  <r>
    <n v="686"/>
    <s v="Tomasine"/>
    <s v="Durbyn"/>
    <n v="43300712"/>
    <s v="ahorros"/>
    <n v="18435.099999999999"/>
    <d v="2022-01-15T00:00:00"/>
    <d v="2017-08-09T00:00:00"/>
    <s v="HERMITAGE"/>
    <s v="Shadui"/>
    <n v="1261"/>
    <s v="Inactivo"/>
    <n v="289.31650000000002"/>
    <n v="64"/>
    <x v="1"/>
  </r>
  <r>
    <n v="687"/>
    <s v="Alaine"/>
    <s v="Boissieux"/>
    <n v="55001766"/>
    <s v="corriente"/>
    <n v="88981.05"/>
    <d v="2023-05-23T00:00:00"/>
    <d v="2016-02-09T00:00:00"/>
    <s v="PITTSBURGH"/>
    <s v="Letuyi"/>
    <n v="768"/>
    <s v="Inactivo"/>
    <n v="345.4153"/>
    <n v="258"/>
    <x v="1"/>
  </r>
  <r>
    <n v="688"/>
    <s v="Crysta"/>
    <s v="Polk"/>
    <n v="72406768"/>
    <s v="corriente"/>
    <n v="153527.62"/>
    <d v="2025-01-29T00:00:00"/>
    <d v="2018-07-10T00:00:00"/>
    <s v="MIDLAND"/>
    <s v="Mopti"/>
    <n v="151"/>
    <s v="Activo"/>
    <n v="378.05099999999999"/>
    <n v="406"/>
    <x v="0"/>
  </r>
  <r>
    <n v="689"/>
    <s v="Audry"/>
    <s v="Teodori"/>
    <n v="86518723"/>
    <s v="corriente"/>
    <n v="152659.87"/>
    <d v="2020-12-12T00:00:00"/>
    <d v="2016-02-05T00:00:00"/>
    <s v="PINE BLUFF"/>
    <s v="Sigayevo"/>
    <n v="1660"/>
    <s v="Inactivo"/>
    <n v="275.29239999999999"/>
    <n v="555"/>
    <x v="0"/>
  </r>
  <r>
    <n v="690"/>
    <s v="Mei"/>
    <s v="Pimerick"/>
    <n v="242272188"/>
    <s v="corriente"/>
    <n v="117759.88"/>
    <d v="2023-08-17T00:00:00"/>
    <d v="2017-05-23T00:00:00"/>
    <s v="CINCINNATI"/>
    <s v="Thị Trấn Yên Thịnh"/>
    <n v="682"/>
    <s v="Inactivo"/>
    <n v="350.06540000000001"/>
    <n v="336"/>
    <x v="0"/>
  </r>
  <r>
    <n v="691"/>
    <s v="Elisabet"/>
    <s v="Benns"/>
    <n v="123203218"/>
    <s v="ahorros"/>
    <n v="60532.35"/>
    <d v="2021-03-15T00:00:00"/>
    <d v="2017-08-08T00:00:00"/>
    <s v="LAKEWOOD"/>
    <s v="Bergen"/>
    <n v="1567"/>
    <s v="Inactivo"/>
    <n v="277.03859999999997"/>
    <n v="218"/>
    <x v="1"/>
  </r>
  <r>
    <n v="692"/>
    <s v="Lesley"/>
    <s v="Ridgers"/>
    <n v="86500634"/>
    <s v="corriente"/>
    <n v="51181.45"/>
    <d v="2024-08-14T00:00:00"/>
    <d v="2018-08-27T00:00:00"/>
    <s v="JEFFERSON"/>
    <s v="Kuantan"/>
    <n v="319"/>
    <s v="Activo"/>
    <n v="375.05119999999999"/>
    <n v="136"/>
    <x v="0"/>
  </r>
  <r>
    <n v="693"/>
    <s v="Mort"/>
    <s v="Bexley"/>
    <n v="102103630"/>
    <s v="corriente"/>
    <n v="19682.18"/>
    <d v="2020-05-12T00:00:00"/>
    <d v="2016-11-22T00:00:00"/>
    <s v="HUGO"/>
    <s v="Klenovyy"/>
    <n v="1874"/>
    <s v="Inactivo"/>
    <n v="275.92380000000003"/>
    <n v="71"/>
    <x v="1"/>
  </r>
  <r>
    <n v="694"/>
    <s v="Alic"/>
    <s v="Wooffitt"/>
    <n v="65200515"/>
    <s v="ahorros"/>
    <n v="140716.51"/>
    <d v="2024-08-20T00:00:00"/>
    <d v="2017-11-04T00:00:00"/>
    <s v="CROWLEY"/>
    <s v="Maykor"/>
    <n v="313"/>
    <s v="Activo"/>
    <n v="375.21080000000001"/>
    <n v="375"/>
    <x v="0"/>
  </r>
  <r>
    <n v="695"/>
    <s v="Geri"/>
    <s v="Ciccetti"/>
    <n v="64208437"/>
    <s v="ahorros"/>
    <n v="39765.01"/>
    <d v="2020-07-05T00:00:00"/>
    <d v="2018-02-23T00:00:00"/>
    <s v="MEMPHIS"/>
    <s v="Paris La Défense"/>
    <n v="1820"/>
    <s v="Inactivo"/>
    <n v="275.93209999999999"/>
    <n v="144"/>
    <x v="1"/>
  </r>
  <r>
    <n v="696"/>
    <s v="Urban"/>
    <s v="Ainsworth"/>
    <n v="21200339"/>
    <s v="corriente"/>
    <n v="48038.15"/>
    <d v="2024-06-19T00:00:00"/>
    <d v="2017-03-14T00:00:00"/>
    <s v="HENRICO"/>
    <s v="Datong"/>
    <n v="375"/>
    <s v="Inactivo"/>
    <n v="372.50560000000002"/>
    <n v="129"/>
    <x v="1"/>
  </r>
  <r>
    <n v="697"/>
    <s v="Ebenezer"/>
    <s v="Dunster"/>
    <n v="72401064"/>
    <s v="corriente"/>
    <n v="128228.18"/>
    <d v="2023-05-11T00:00:00"/>
    <d v="2017-03-18T00:00:00"/>
    <s v="DETROIT"/>
    <s v="Szczecin"/>
    <n v="780"/>
    <s v="Inactivo"/>
    <n v="344.24360000000001"/>
    <n v="372"/>
    <x v="0"/>
  </r>
  <r>
    <n v="698"/>
    <s v="Lisle"/>
    <s v="Craigmile"/>
    <n v="107004695"/>
    <s v="ahorros"/>
    <n v="27174.12"/>
    <d v="2020-01-21T00:00:00"/>
    <d v="2017-04-19T00:00:00"/>
    <s v="LAKEWOOD"/>
    <s v="Rawa Mazowiecka"/>
    <n v="1986"/>
    <s v="Inactivo"/>
    <n v="270.98039999999997"/>
    <n v="100"/>
    <x v="1"/>
  </r>
  <r>
    <n v="699"/>
    <s v="Free"/>
    <s v="Stalf"/>
    <n v="51405670"/>
    <s v="ahorros"/>
    <n v="31646.76"/>
    <d v="2021-02-08T00:00:00"/>
    <d v="2016-09-13T00:00:00"/>
    <s v="SUFFOLK"/>
    <s v="Businovo"/>
    <n v="1602"/>
    <s v="Inactivo"/>
    <n v="275.6712"/>
    <n v="115"/>
    <x v="1"/>
  </r>
  <r>
    <n v="700"/>
    <s v="Tobe"/>
    <s v="Behne"/>
    <n v="44015747"/>
    <s v="ahorros"/>
    <n v="200431.76"/>
    <d v="2023-01-31T00:00:00"/>
    <d v="2018-11-26T00:00:00"/>
    <s v="DALEVILLE"/>
    <s v="Neglasari"/>
    <n v="880"/>
    <s v="Inactivo"/>
    <n v="327.7106"/>
    <n v="612"/>
    <x v="0"/>
  </r>
  <r>
    <n v="701"/>
    <s v="Dana"/>
    <s v="Evert"/>
    <n v="65303069"/>
    <s v="ahorros"/>
    <n v="175165.16"/>
    <d v="2025-01-03T00:00:00"/>
    <d v="2018-02-26T00:00:00"/>
    <s v="BELZONI"/>
    <s v="Azilal"/>
    <n v="177"/>
    <s v="Activo"/>
    <n v="376.87459999999999"/>
    <n v="465"/>
    <x v="0"/>
  </r>
  <r>
    <n v="702"/>
    <s v="Alexia"/>
    <s v="Francombe"/>
    <n v="43400036"/>
    <s v="corriente"/>
    <n v="26151.49"/>
    <d v="2024-01-27T00:00:00"/>
    <d v="2016-07-25T00:00:00"/>
    <s v="WHEELING"/>
    <s v="Talok"/>
    <n v="519"/>
    <s v="Inactivo"/>
    <n v="359.2688"/>
    <n v="73"/>
    <x v="1"/>
  </r>
  <r>
    <n v="703"/>
    <s v="Jaime"/>
    <s v="Risman"/>
    <n v="74913660"/>
    <s v="corriente"/>
    <n v="146904.15"/>
    <d v="2024-09-26T00:00:00"/>
    <d v="2016-02-07T00:00:00"/>
    <s v="DALEVILLE"/>
    <s v="Uummannaq"/>
    <n v="276"/>
    <s v="Activo"/>
    <n v="375.84010000000001"/>
    <n v="391"/>
    <x v="0"/>
  </r>
  <r>
    <n v="704"/>
    <s v="Viviyan"/>
    <s v="Cayton"/>
    <n v="72410123"/>
    <s v="ahorros"/>
    <n v="111831.49"/>
    <d v="2022-09-14T00:00:00"/>
    <d v="2016-07-06T00:00:00"/>
    <s v="COLUMBUS"/>
    <s v="Noeltoko"/>
    <n v="1019"/>
    <s v="Inactivo"/>
    <n v="314.55459999999999"/>
    <n v="356"/>
    <x v="0"/>
  </r>
  <r>
    <n v="705"/>
    <s v="Adel"/>
    <s v="Dikle"/>
    <n v="102300268"/>
    <s v="ahorros"/>
    <n v="45487.5"/>
    <d v="2020-10-01T00:00:00"/>
    <d v="2017-12-19T00:00:00"/>
    <s v="EVANSTON"/>
    <s v="Gbawe"/>
    <n v="1732"/>
    <s v="Inactivo"/>
    <n v="274.5754"/>
    <n v="166"/>
    <x v="1"/>
  </r>
  <r>
    <n v="706"/>
    <s v="Gabriellia"/>
    <s v="Yirrell"/>
    <n v="71905613"/>
    <s v="ahorros"/>
    <n v="102542.44"/>
    <d v="2023-04-01T00:00:00"/>
    <d v="2017-12-20T00:00:00"/>
    <s v="OMAHA"/>
    <s v="Jubaoshan"/>
    <n v="820"/>
    <s v="Inactivo"/>
    <n v="338.61430000000001"/>
    <n v="303"/>
    <x v="1"/>
  </r>
  <r>
    <n v="707"/>
    <s v="Starla"/>
    <s v="Belhomme"/>
    <n v="86300041"/>
    <s v="corriente"/>
    <n v="148069.37"/>
    <d v="2023-05-24T00:00:00"/>
    <d v="2016-11-27T00:00:00"/>
    <s v="CINCINNATI"/>
    <s v="Yihe"/>
    <n v="767"/>
    <s v="Inactivo"/>
    <n v="345.50189999999998"/>
    <n v="429"/>
    <x v="0"/>
  </r>
  <r>
    <n v="708"/>
    <s v="Garnette"/>
    <s v="Rapps"/>
    <n v="121143697"/>
    <s v="ahorros"/>
    <n v="22495.64"/>
    <d v="2024-06-18T00:00:00"/>
    <d v="2016-04-30T00:00:00"/>
    <s v="SAN JOSE"/>
    <s v="Taihe Chengguanzhen"/>
    <n v="376"/>
    <s v="Inactivo"/>
    <n v="372.45229999999998"/>
    <n v="60"/>
    <x v="1"/>
  </r>
  <r>
    <n v="709"/>
    <s v="Sondra"/>
    <s v="Barnardo"/>
    <n v="111904150"/>
    <s v="ahorros"/>
    <n v="95093.94"/>
    <d v="2024-07-20T00:00:00"/>
    <d v="2016-12-15T00:00:00"/>
    <s v="CARTHAGE"/>
    <s v="Qadsīyā"/>
    <n v="344"/>
    <s v="Activo"/>
    <n v="374.08609999999999"/>
    <n v="254"/>
    <x v="0"/>
  </r>
  <r>
    <n v="710"/>
    <s v="Fairlie"/>
    <s v="Gohier"/>
    <n v="123006389"/>
    <s v="corriente"/>
    <n v="92531.13"/>
    <d v="2021-12-30T00:00:00"/>
    <d v="2016-05-12T00:00:00"/>
    <s v="BUFFALO"/>
    <s v="Balong"/>
    <n v="1277"/>
    <s v="Inactivo"/>
    <n v="288.5727"/>
    <n v="321"/>
    <x v="1"/>
  </r>
  <r>
    <n v="711"/>
    <s v="Dorothee"/>
    <s v="Kadwallider"/>
    <n v="125200060"/>
    <s v="corriente"/>
    <n v="35245.57"/>
    <d v="2022-09-07T00:00:00"/>
    <d v="2018-02-06T00:00:00"/>
    <s v="ANCHORAGE"/>
    <s v="Al Baqāliţah"/>
    <n v="1026"/>
    <s v="Inactivo"/>
    <n v="313.9821"/>
    <n v="112"/>
    <x v="1"/>
  </r>
  <r>
    <n v="712"/>
    <s v="Dalis"/>
    <s v="O'Meara"/>
    <n v="75900986"/>
    <s v="corriente"/>
    <n v="142876.67000000001"/>
    <d v="2020-10-09T00:00:00"/>
    <d v="2018-03-20T00:00:00"/>
    <s v="NAPERVILLEL"/>
    <s v="Platagata"/>
    <n v="1724"/>
    <s v="Inactivo"/>
    <n v="274.56799999999998"/>
    <n v="520"/>
    <x v="0"/>
  </r>
  <r>
    <n v="713"/>
    <s v="Merrielle"/>
    <s v="Waterhouse"/>
    <n v="72402076"/>
    <s v="corriente"/>
    <n v="215956.05"/>
    <d v="2022-06-04T00:00:00"/>
    <d v="2018-05-11T00:00:00"/>
    <s v="RIVERSIDE"/>
    <s v="Callahuanca"/>
    <n v="1121"/>
    <s v="Inactivo"/>
    <n v="306.58359999999999"/>
    <n v="704"/>
    <x v="0"/>
  </r>
  <r>
    <n v="714"/>
    <s v="Karrah"/>
    <s v="Goudy"/>
    <n v="67012413"/>
    <s v="ahorros"/>
    <n v="124290.34"/>
    <d v="2023-04-13T00:00:00"/>
    <d v="2017-04-01T00:00:00"/>
    <s v="FT LAUDERDALE"/>
    <s v="Uruçuca"/>
    <n v="808"/>
    <s v="Inactivo"/>
    <n v="340.7792"/>
    <n v="365"/>
    <x v="0"/>
  </r>
  <r>
    <n v="715"/>
    <s v="Didi"/>
    <s v="Cartman"/>
    <n v="271173452"/>
    <s v="ahorros"/>
    <n v="82885.8"/>
    <d v="2020-09-29T00:00:00"/>
    <d v="2018-09-25T00:00:00"/>
    <s v="SPRINGFIELD"/>
    <s v="Bayan Uula Sumu"/>
    <n v="1734"/>
    <s v="Inactivo"/>
    <n v="274.5772"/>
    <n v="302"/>
    <x v="1"/>
  </r>
  <r>
    <n v="716"/>
    <s v="Jocko"/>
    <s v="Lerwill"/>
    <n v="221572838"/>
    <s v="corriente"/>
    <n v="50058.51"/>
    <d v="2022-08-09T00:00:00"/>
    <d v="2018-03-19T00:00:00"/>
    <s v="SAN JUAN"/>
    <s v="Zvishavane"/>
    <n v="1055"/>
    <s v="Inactivo"/>
    <n v="311.80119999999999"/>
    <n v="161"/>
    <x v="1"/>
  </r>
  <r>
    <n v="717"/>
    <s v="Waylan"/>
    <s v="Burgill"/>
    <n v="91212179"/>
    <s v="corriente"/>
    <n v="144011.38"/>
    <d v="2023-08-01T00:00:00"/>
    <d v="2018-01-08T00:00:00"/>
    <s v="ATLANTIC"/>
    <s v="Baki"/>
    <n v="698"/>
    <s v="Inactivo"/>
    <n v="349.47969999999998"/>
    <n v="412"/>
    <x v="0"/>
  </r>
  <r>
    <n v="718"/>
    <s v="Evanne"/>
    <s v="Novill"/>
    <n v="101113676"/>
    <s v="corriente"/>
    <n v="97712.67"/>
    <d v="2020-06-12T00:00:00"/>
    <d v="2017-03-23T00:00:00"/>
    <s v="DWIGHT"/>
    <s v="Independencia"/>
    <n v="1843"/>
    <s v="Inactivo"/>
    <n v="276.4796"/>
    <n v="353"/>
    <x v="0"/>
  </r>
  <r>
    <n v="719"/>
    <s v="Gaby"/>
    <s v="Knell"/>
    <n v="42200279"/>
    <s v="corriente"/>
    <n v="194732.14"/>
    <d v="2021-01-28T00:00:00"/>
    <d v="2016-06-11T00:00:00"/>
    <s v="CLEVELAND"/>
    <s v="Stanisław Górny"/>
    <n v="1613"/>
    <s v="Inactivo"/>
    <n v="275.30040000000002"/>
    <n v="707"/>
    <x v="0"/>
  </r>
  <r>
    <n v="720"/>
    <s v="Konstance"/>
    <s v="Dowzell"/>
    <n v="11000138"/>
    <s v="ahorros"/>
    <n v="186379.31"/>
    <d v="2022-04-29T00:00:00"/>
    <d v="2018-04-21T00:00:00"/>
    <s v="HENRICO"/>
    <s v="Shu"/>
    <n v="1157"/>
    <s v="Inactivo"/>
    <n v="302.5265"/>
    <n v="616"/>
    <x v="0"/>
  </r>
  <r>
    <n v="721"/>
    <s v="Isador"/>
    <s v="Capaldi"/>
    <n v="65301155"/>
    <s v="ahorros"/>
    <n v="129594.66"/>
    <d v="2020-05-13T00:00:00"/>
    <d v="2017-09-02T00:00:00"/>
    <s v="BIRMINGHAM"/>
    <s v="Thị Trấn Trùng Khánh"/>
    <n v="1873"/>
    <s v="Inactivo"/>
    <n v="275.976"/>
    <n v="470"/>
    <x v="0"/>
  </r>
  <r>
    <n v="722"/>
    <s v="Neilla"/>
    <s v="Dionisio"/>
    <n v="21913655"/>
    <s v="ahorros"/>
    <n v="207247.91"/>
    <d v="2024-12-06T00:00:00"/>
    <d v="2016-01-29T00:00:00"/>
    <s v="MONTEBELLO"/>
    <s v="Los Patios"/>
    <n v="205"/>
    <s v="Activo"/>
    <n v="376.39920000000001"/>
    <n v="551"/>
    <x v="0"/>
  </r>
  <r>
    <n v="723"/>
    <s v="Anthia"/>
    <s v="Kellett"/>
    <n v="104900721"/>
    <s v="ahorros"/>
    <n v="144090.35"/>
    <d v="2024-02-04T00:00:00"/>
    <d v="2016-05-25T00:00:00"/>
    <s v="OMAHA"/>
    <s v="La Reforma"/>
    <n v="511"/>
    <s v="Inactivo"/>
    <n v="359.68529999999998"/>
    <n v="401"/>
    <x v="0"/>
  </r>
  <r>
    <n v="724"/>
    <s v="Efren"/>
    <s v="Bicheno"/>
    <n v="103112507"/>
    <s v="corriente"/>
    <n v="53972.6"/>
    <d v="2021-09-05T00:00:00"/>
    <d v="2018-07-23T00:00:00"/>
    <s v="STILWELL"/>
    <s v="Lewoduli"/>
    <n v="1393"/>
    <s v="Inactivo"/>
    <n v="285.17989999999998"/>
    <n v="189"/>
    <x v="1"/>
  </r>
  <r>
    <n v="725"/>
    <s v="Rebbecca"/>
    <s v="Honack"/>
    <n v="82903293"/>
    <s v="ahorros"/>
    <n v="14231.51"/>
    <d v="2020-03-22T00:00:00"/>
    <d v="2016-12-14T00:00:00"/>
    <s v="PINE BLUFF"/>
    <s v="Tajumulco"/>
    <n v="1925"/>
    <s v="Inactivo"/>
    <n v="273.10039999999998"/>
    <n v="52"/>
    <x v="1"/>
  </r>
  <r>
    <n v="726"/>
    <s v="Jarib"/>
    <s v="Mungan"/>
    <n v="101918965"/>
    <s v="ahorros"/>
    <n v="57017.33"/>
    <d v="2023-06-15T00:00:00"/>
    <d v="2018-03-09T00:00:00"/>
    <s v="RICHMOND"/>
    <s v="Tongxing"/>
    <n v="745"/>
    <s v="Inactivo"/>
    <n v="347.41219999999998"/>
    <n v="164"/>
    <x v="1"/>
  </r>
  <r>
    <n v="727"/>
    <s v="Berny"/>
    <s v="Bjorkan"/>
    <n v="124001545"/>
    <s v="ahorros"/>
    <n v="133060.1"/>
    <d v="2021-09-19T00:00:00"/>
    <d v="2017-12-16T00:00:00"/>
    <s v="TAMPA"/>
    <s v="Nempel"/>
    <n v="1379"/>
    <s v="Inactivo"/>
    <n v="285.64499999999998"/>
    <n v="466"/>
    <x v="0"/>
  </r>
  <r>
    <n v="728"/>
    <s v="Elyse"/>
    <s v="Doman"/>
    <n v="53112275"/>
    <s v="ahorros"/>
    <n v="48598.35"/>
    <d v="2024-04-04T00:00:00"/>
    <d v="2016-11-28T00:00:00"/>
    <s v="HERMITAGE"/>
    <s v="Pasar"/>
    <n v="451"/>
    <s v="Inactivo"/>
    <n v="366.125"/>
    <n v="133"/>
    <x v="1"/>
  </r>
  <r>
    <n v="729"/>
    <s v="Salomon"/>
    <s v="Vaan"/>
    <n v="41202113"/>
    <s v="ahorros"/>
    <n v="196391.22"/>
    <d v="2020-10-20T00:00:00"/>
    <d v="2017-12-07T00:00:00"/>
    <s v="COLUMBUS"/>
    <s v="Banjar"/>
    <n v="1713"/>
    <s v="Inactivo"/>
    <n v="274.70400000000001"/>
    <n v="715"/>
    <x v="0"/>
  </r>
  <r>
    <n v="730"/>
    <s v="Lindon"/>
    <s v="Redish"/>
    <n v="122106154"/>
    <s v="corriente"/>
    <n v="122488.39"/>
    <d v="2025-02-02T00:00:00"/>
    <d v="2017-10-15T00:00:00"/>
    <s v="OKLAHOMA CITY"/>
    <s v="West End"/>
    <n v="147"/>
    <s v="Activo"/>
    <n v="378.2749"/>
    <n v="324"/>
    <x v="0"/>
  </r>
  <r>
    <n v="731"/>
    <s v="Adrea"/>
    <s v="Freezor"/>
    <n v="72412435"/>
    <s v="ahorros"/>
    <n v="80335.7"/>
    <d v="2023-09-13T00:00:00"/>
    <d v="2016-08-29T00:00:00"/>
    <s v="EAST LANSING"/>
    <s v="Wangzha"/>
    <n v="655"/>
    <s v="Inactivo"/>
    <n v="351.58940000000001"/>
    <n v="228"/>
    <x v="1"/>
  </r>
  <r>
    <n v="732"/>
    <s v="Johannah"/>
    <s v="Wrathall"/>
    <n v="65403626"/>
    <s v="ahorros"/>
    <n v="52923.67"/>
    <d v="2022-07-06T00:00:00"/>
    <d v="2018-08-16T00:00:00"/>
    <s v="BIRMINGHAM"/>
    <s v="Mâcon"/>
    <n v="1089"/>
    <s v="Inactivo"/>
    <n v="309.74639999999999"/>
    <n v="171"/>
    <x v="1"/>
  </r>
  <r>
    <n v="733"/>
    <s v="Araldo"/>
    <s v="Taylorson"/>
    <n v="65400153"/>
    <s v="corriente"/>
    <n v="111307.8"/>
    <d v="2020-03-07T00:00:00"/>
    <d v="2018-08-16T00:00:00"/>
    <s v="NEW ORLEANS"/>
    <s v="Si’erbao"/>
    <n v="1940"/>
    <s v="Inactivo"/>
    <n v="272.37380000000002"/>
    <n v="409"/>
    <x v="0"/>
  </r>
  <r>
    <n v="734"/>
    <s v="Galvin"/>
    <s v="Bolletti"/>
    <n v="81517981"/>
    <s v="corriente"/>
    <n v="167407.67000000001"/>
    <d v="2020-09-07T00:00:00"/>
    <d v="2016-12-09T00:00:00"/>
    <s v="SPRINGFIELD"/>
    <s v="Songgai"/>
    <n v="1756"/>
    <s v="Inactivo"/>
    <n v="274.58999999999997"/>
    <n v="610"/>
    <x v="0"/>
  </r>
  <r>
    <n v="735"/>
    <s v="Yves"/>
    <s v="Ughini"/>
    <n v="122105854"/>
    <s v="ahorros"/>
    <n v="144262.56"/>
    <d v="2023-02-15T00:00:00"/>
    <d v="2018-02-27T00:00:00"/>
    <s v="NAPERVILLE"/>
    <s v="Kalej"/>
    <n v="865"/>
    <s v="Inactivo"/>
    <n v="329.7022"/>
    <n v="438"/>
    <x v="0"/>
  </r>
  <r>
    <n v="736"/>
    <s v="Ernesto"/>
    <s v="Rowena"/>
    <n v="111909825"/>
    <s v="corriente"/>
    <n v="21898.19"/>
    <d v="2024-06-19T00:00:00"/>
    <d v="2018-02-23T00:00:00"/>
    <s v="GILMER"/>
    <s v="Kokstad"/>
    <n v="375"/>
    <s v="Inactivo"/>
    <n v="372.50560000000002"/>
    <n v="59"/>
    <x v="1"/>
  </r>
  <r>
    <n v="737"/>
    <s v="Mureil"/>
    <s v="Wormell"/>
    <n v="83902374"/>
    <s v="corriente"/>
    <n v="34526.32"/>
    <d v="2022-09-23T00:00:00"/>
    <d v="2017-10-12T00:00:00"/>
    <s v="CINCINNATI"/>
    <s v="Cholargós"/>
    <n v="1010"/>
    <s v="Inactivo"/>
    <n v="315.48910000000001"/>
    <n v="109"/>
    <x v="1"/>
  </r>
  <r>
    <n v="738"/>
    <s v="Steffen"/>
    <s v="Denecamp"/>
    <n v="63114784"/>
    <s v="corriente"/>
    <n v="97053.7"/>
    <d v="2021-10-05T00:00:00"/>
    <d v="2017-06-09T00:00:00"/>
    <s v="PITTSBURGH"/>
    <s v="Três Lagoas"/>
    <n v="1363"/>
    <s v="Inactivo"/>
    <n v="286.32979999999998"/>
    <n v="339"/>
    <x v="0"/>
  </r>
  <r>
    <n v="739"/>
    <s v="Xymenes"/>
    <s v="Tynan"/>
    <n v="64206031"/>
    <s v="ahorros"/>
    <n v="39229.019999999997"/>
    <d v="2025-01-13T00:00:00"/>
    <d v="2017-03-23T00:00:00"/>
    <s v="LAFOLLETTE"/>
    <s v="Suizhong"/>
    <n v="167"/>
    <s v="Activo"/>
    <n v="377.20260000000002"/>
    <n v="104"/>
    <x v="0"/>
  </r>
  <r>
    <n v="740"/>
    <s v="Hunt"/>
    <s v="Escolme"/>
    <n v="263189865"/>
    <s v="ahorros"/>
    <n v="119809.67"/>
    <d v="2021-06-26T00:00:00"/>
    <d v="2017-02-03T00:00:00"/>
    <s v="TAMPA"/>
    <s v="Summerside"/>
    <n v="1464"/>
    <s v="Inactivo"/>
    <n v="282.91719999999998"/>
    <n v="423"/>
    <x v="0"/>
  </r>
  <r>
    <n v="741"/>
    <s v="Jules"/>
    <s v="Guerreru"/>
    <n v="274970063"/>
    <s v="ahorros"/>
    <n v="94306.240000000005"/>
    <d v="2022-08-25T00:00:00"/>
    <d v="2018-04-22T00:00:00"/>
    <s v="CINCINNATI"/>
    <s v="Puerto Boyacá"/>
    <n v="1039"/>
    <s v="Inactivo"/>
    <n v="312.92169999999999"/>
    <n v="301"/>
    <x v="1"/>
  </r>
  <r>
    <n v="742"/>
    <s v="Kala"/>
    <s v="Molian"/>
    <n v="322283178"/>
    <s v="corriente"/>
    <n v="47791.38"/>
    <d v="2020-07-23T00:00:00"/>
    <d v="2017-10-08T00:00:00"/>
    <s v="TORRANCE"/>
    <s v="Carbajales"/>
    <n v="1802"/>
    <s v="Inactivo"/>
    <n v="275.36669999999998"/>
    <n v="174"/>
    <x v="1"/>
  </r>
  <r>
    <n v="743"/>
    <s v="Ezequiel"/>
    <s v="Gurry"/>
    <n v="102101700"/>
    <s v="ahorros"/>
    <n v="71649.98"/>
    <d v="2024-03-27T00:00:00"/>
    <d v="2018-07-31T00:00:00"/>
    <s v="HOTCHKISS"/>
    <s v="Hengfeng"/>
    <n v="459"/>
    <s v="Inactivo"/>
    <n v="365.10210000000001"/>
    <n v="196"/>
    <x v="1"/>
  </r>
  <r>
    <n v="744"/>
    <s v="Toiboid"/>
    <s v="Dales"/>
    <n v="64208398"/>
    <s v="corriente"/>
    <n v="191750.78"/>
    <d v="2020-04-18T00:00:00"/>
    <d v="2016-06-09T00:00:00"/>
    <s v="MADISONVILLE"/>
    <s v="Nanhe"/>
    <n v="1898"/>
    <s v="Inactivo"/>
    <n v="274.67200000000003"/>
    <n v="698"/>
    <x v="0"/>
  </r>
  <r>
    <n v="745"/>
    <s v="Mellie"/>
    <s v="Cossington"/>
    <n v="21202609"/>
    <s v="corriente"/>
    <n v="139461.73000000001"/>
    <d v="2025-01-04T00:00:00"/>
    <d v="2017-10-05T00:00:00"/>
    <s v="RICHMOND"/>
    <s v="Västerås"/>
    <n v="176"/>
    <s v="Activo"/>
    <n v="376.9074"/>
    <n v="370"/>
    <x v="0"/>
  </r>
  <r>
    <n v="746"/>
    <s v="Stephie"/>
    <s v="Shortall"/>
    <n v="321070227"/>
    <s v="ahorros"/>
    <n v="91301.73"/>
    <d v="2025-04-05T00:00:00"/>
    <d v="2016-05-25T00:00:00"/>
    <s v="ST PAUL"/>
    <s v="Niamey"/>
    <n v="85"/>
    <s v="Activo"/>
    <n v="385.51519999999999"/>
    <n v="237"/>
    <x v="0"/>
  </r>
  <r>
    <n v="747"/>
    <s v="Tam"/>
    <s v="Tickle"/>
    <n v="101000048"/>
    <s v="ahorros"/>
    <n v="73908.61"/>
    <d v="2024-07-26T00:00:00"/>
    <d v="2018-04-18T00:00:00"/>
    <s v="MINNEAPOLIS"/>
    <s v="Lanshan"/>
    <n v="338"/>
    <s v="Activo"/>
    <n v="374.3175"/>
    <n v="197"/>
    <x v="0"/>
  </r>
  <r>
    <n v="748"/>
    <s v="Leona"/>
    <s v="Postlethwaite"/>
    <n v="61204913"/>
    <s v="corriente"/>
    <n v="168413.53"/>
    <d v="2025-03-16T00:00:00"/>
    <d v="2016-01-15T00:00:00"/>
    <s v="FITZGERALD"/>
    <s v="Knivsta"/>
    <n v="105"/>
    <s v="Activo"/>
    <n v="382.70609999999999"/>
    <n v="440"/>
    <x v="0"/>
  </r>
  <r>
    <n v="749"/>
    <s v="Michele"/>
    <s v="Lowres"/>
    <n v="53203210"/>
    <s v="ahorros"/>
    <n v="86699.35"/>
    <d v="2024-01-27T00:00:00"/>
    <d v="2016-01-12T00:00:00"/>
    <s v="HOLLY HILL"/>
    <s v="Burauen"/>
    <n v="519"/>
    <s v="Inactivo"/>
    <n v="359.2688"/>
    <n v="241"/>
    <x v="1"/>
  </r>
  <r>
    <n v="750"/>
    <s v="Nissie"/>
    <s v="Olyff"/>
    <n v="61102549"/>
    <s v="ahorros"/>
    <n v="42445.72"/>
    <d v="2021-02-20T00:00:00"/>
    <d v="2017-02-20T00:00:00"/>
    <s v="CHAS"/>
    <s v="Goubétto"/>
    <n v="1590"/>
    <s v="Inactivo"/>
    <n v="276.10910000000001"/>
    <n v="154"/>
    <x v="1"/>
  </r>
  <r>
    <n v="751"/>
    <s v="Rozele"/>
    <s v="Borchardt"/>
    <n v="43318092"/>
    <s v="ahorros"/>
    <n v="79666.5"/>
    <d v="2023-01-19T00:00:00"/>
    <d v="2017-08-17T00:00:00"/>
    <s v="HERMITAGE"/>
    <s v="Abucayan"/>
    <n v="892"/>
    <s v="Inactivo"/>
    <n v="326.12610000000001"/>
    <n v="244"/>
    <x v="1"/>
  </r>
  <r>
    <n v="752"/>
    <s v="Bartholomeus"/>
    <s v="Curless"/>
    <n v="125104425"/>
    <s v="corriente"/>
    <n v="52065.21"/>
    <d v="2024-07-02T00:00:00"/>
    <d v="2017-11-27T00:00:00"/>
    <s v="LYNDEN"/>
    <s v="Banjar Kajanan"/>
    <n v="362"/>
    <s v="Inactivo"/>
    <n v="373.19880000000001"/>
    <n v="140"/>
    <x v="0"/>
  </r>
  <r>
    <n v="753"/>
    <s v="Ichabod"/>
    <s v="Greader"/>
    <n v="83901773"/>
    <s v="ahorros"/>
    <n v="131448.85999999999"/>
    <d v="2023-08-21T00:00:00"/>
    <d v="2018-04-08T00:00:00"/>
    <s v="PRINCETON"/>
    <s v="Huangchen"/>
    <n v="678"/>
    <s v="Inactivo"/>
    <n v="350.29079999999999"/>
    <n v="375"/>
    <x v="0"/>
  </r>
  <r>
    <n v="754"/>
    <s v="Bianca"/>
    <s v="Showers"/>
    <n v="111925045"/>
    <s v="ahorros"/>
    <n v="140471.51999999999"/>
    <d v="2022-08-15T00:00:00"/>
    <d v="2018-11-14T00:00:00"/>
    <s v="GAINESVILLE"/>
    <s v="Bukavu"/>
    <n v="1049"/>
    <s v="Inactivo"/>
    <n v="312.10840000000002"/>
    <n v="450"/>
    <x v="0"/>
  </r>
  <r>
    <n v="755"/>
    <s v="Marlee"/>
    <s v="Rickis"/>
    <n v="125108065"/>
    <s v="ahorros"/>
    <n v="120999.83"/>
    <d v="2021-10-31T00:00:00"/>
    <d v="2018-04-23T00:00:00"/>
    <s v="SPOKANE"/>
    <s v="Dukhovnitskoye"/>
    <n v="1337"/>
    <s v="Inactivo"/>
    <n v="287.32049999999998"/>
    <n v="421"/>
    <x v="0"/>
  </r>
  <r>
    <n v="756"/>
    <s v="Adolf"/>
    <s v="Petri"/>
    <n v="71924584"/>
    <s v="corriente"/>
    <n v="30857.21"/>
    <d v="2021-09-30T00:00:00"/>
    <d v="2016-03-25T00:00:00"/>
    <s v="OMAHA"/>
    <s v="Jubung"/>
    <n v="1368"/>
    <s v="Inactivo"/>
    <n v="286.11559999999997"/>
    <n v="108"/>
    <x v="1"/>
  </r>
  <r>
    <n v="757"/>
    <s v="Tod"/>
    <s v="Haye"/>
    <n v="42000424"/>
    <s v="corriente"/>
    <n v="82766.3"/>
    <d v="2021-11-03T00:00:00"/>
    <d v="2017-01-29T00:00:00"/>
    <s v="CLEVELAND"/>
    <s v="Buikwe"/>
    <n v="1334"/>
    <s v="Inactivo"/>
    <n v="287.42599999999999"/>
    <n v="288"/>
    <x v="1"/>
  </r>
  <r>
    <n v="758"/>
    <s v="Bordy"/>
    <s v="Girdwood"/>
    <n v="321170444"/>
    <s v="corriente"/>
    <n v="181329.85"/>
    <d v="2021-08-05T00:00:00"/>
    <d v="2018-01-06T00:00:00"/>
    <s v="ENGLEWOOD CLIFFS"/>
    <s v="Châteaurenard"/>
    <n v="1424"/>
    <s v="Inactivo"/>
    <n v="284.60939999999999"/>
    <n v="637"/>
    <x v="0"/>
  </r>
  <r>
    <n v="759"/>
    <s v="Clemente"/>
    <s v="Pridmore"/>
    <n v="11000206"/>
    <s v="corriente"/>
    <n v="198447.14"/>
    <d v="2024-07-10T00:00:00"/>
    <d v="2017-08-15T00:00:00"/>
    <s v="RICHMOND"/>
    <s v="Hanjia"/>
    <n v="354"/>
    <s v="Activo"/>
    <n v="373.62610000000001"/>
    <n v="531"/>
    <x v="0"/>
  </r>
  <r>
    <n v="760"/>
    <s v="Reid"/>
    <s v="Chipman"/>
    <n v="72409888"/>
    <s v="corriente"/>
    <n v="135489.9"/>
    <d v="2021-07-17T00:00:00"/>
    <d v="2017-10-20T00:00:00"/>
    <s v="CINCINNATI"/>
    <s v="Fukadale"/>
    <n v="1443"/>
    <s v="Inactivo"/>
    <n v="284.69659999999999"/>
    <n v="476"/>
    <x v="0"/>
  </r>
  <r>
    <n v="761"/>
    <s v="Shawnee"/>
    <s v="Neeson"/>
    <n v="122238543"/>
    <s v="corriente"/>
    <n v="119971.01"/>
    <d v="2020-09-24T00:00:00"/>
    <d v="2018-06-15T00:00:00"/>
    <s v="ONTARIO"/>
    <s v="Kỳ Anh"/>
    <n v="1739"/>
    <s v="Inactivo"/>
    <n v="274.58179999999999"/>
    <n v="437"/>
    <x v="0"/>
  </r>
  <r>
    <n v="762"/>
    <s v="Peta"/>
    <s v="Marryatt"/>
    <n v="64108605"/>
    <s v="corriente"/>
    <n v="18363.48"/>
    <d v="2020-12-30T00:00:00"/>
    <d v="2018-07-07T00:00:00"/>
    <s v="SHELBYVILLE"/>
    <s v="Eksjö"/>
    <n v="1642"/>
    <s v="Inactivo"/>
    <n v="275.07589999999999"/>
    <n v="67"/>
    <x v="1"/>
  </r>
  <r>
    <n v="763"/>
    <s v="Norbie"/>
    <s v="Llewellen"/>
    <n v="82901839"/>
    <s v="ahorros"/>
    <n v="194769.52"/>
    <d v="2021-12-18T00:00:00"/>
    <d v="2016-01-07T00:00:00"/>
    <s v="MAGNOLIA"/>
    <s v="Kansas City"/>
    <n v="1289"/>
    <s v="Inactivo"/>
    <n v="288.01609999999999"/>
    <n v="676"/>
    <x v="0"/>
  </r>
  <r>
    <n v="764"/>
    <s v="Isador"/>
    <s v="Lemerie"/>
    <n v="53202279"/>
    <s v="ahorros"/>
    <n v="170009.61"/>
    <d v="2020-06-12T00:00:00"/>
    <d v="2017-07-21T00:00:00"/>
    <s v="N. CHAS"/>
    <s v="Banjar Tengahbelayu"/>
    <n v="1843"/>
    <s v="Inactivo"/>
    <n v="276.4796"/>
    <n v="615"/>
    <x v="0"/>
  </r>
  <r>
    <n v="765"/>
    <s v="Sutherland"/>
    <s v="McVity"/>
    <n v="91206389"/>
    <s v="ahorros"/>
    <n v="75783.47"/>
    <d v="2020-04-28T00:00:00"/>
    <d v="2017-04-23T00:00:00"/>
    <s v="ASHBY"/>
    <s v="Bonabéri"/>
    <n v="1888"/>
    <s v="Inactivo"/>
    <n v="275.19290000000001"/>
    <n v="275"/>
    <x v="1"/>
  </r>
  <r>
    <n v="766"/>
    <s v="Jedidiah"/>
    <s v="Biggar"/>
    <n v="121141288"/>
    <s v="ahorros"/>
    <n v="176101.31"/>
    <d v="2021-11-15T00:00:00"/>
    <d v="2018-11-30T00:00:00"/>
    <s v="MINNEAPOLIS"/>
    <s v="Kebonkai"/>
    <n v="1322"/>
    <s v="Inactivo"/>
    <n v="287.84829999999999"/>
    <n v="612"/>
    <x v="0"/>
  </r>
  <r>
    <n v="767"/>
    <s v="Reggie"/>
    <s v="Yarnold"/>
    <n v="322285846"/>
    <s v="ahorros"/>
    <n v="19413.36"/>
    <d v="2023-05-22T00:00:00"/>
    <d v="2018-04-12T00:00:00"/>
    <s v="ST PAUL"/>
    <s v="Paris La Défense"/>
    <n v="769"/>
    <s v="Inactivo"/>
    <n v="345.32870000000003"/>
    <n v="56"/>
    <x v="1"/>
  </r>
  <r>
    <n v="768"/>
    <s v="Pollyanna"/>
    <s v="Elfe"/>
    <n v="101218856"/>
    <s v="corriente"/>
    <n v="127278.95"/>
    <d v="2022-10-22T00:00:00"/>
    <d v="2018-03-03T00:00:00"/>
    <s v="KANSAS CITY"/>
    <s v="Wewit"/>
    <n v="981"/>
    <s v="Inactivo"/>
    <n v="318.51089999999999"/>
    <n v="400"/>
    <x v="0"/>
  </r>
  <r>
    <n v="769"/>
    <s v="Moe"/>
    <s v="Ferrarini"/>
    <n v="63114632"/>
    <s v="ahorros"/>
    <n v="190749.89"/>
    <d v="2024-12-05T00:00:00"/>
    <d v="2017-02-11T00:00:00"/>
    <s v="PITTSBURGH"/>
    <s v="Zaplavnoye"/>
    <n v="206"/>
    <s v="Activo"/>
    <n v="376.41550000000001"/>
    <n v="507"/>
    <x v="0"/>
  </r>
  <r>
    <n v="770"/>
    <s v="Edin"/>
    <s v="Brumfield"/>
    <n v="121141107"/>
    <s v="corriente"/>
    <n v="80032.22"/>
    <d v="2021-10-19T00:00:00"/>
    <d v="2017-12-23T00:00:00"/>
    <s v="PORTLAND"/>
    <s v="Cachachi"/>
    <n v="1349"/>
    <s v="Inactivo"/>
    <n v="286.899"/>
    <n v="279"/>
    <x v="1"/>
  </r>
  <r>
    <n v="771"/>
    <s v="Timmy"/>
    <s v="Kidsley"/>
    <n v="113122804"/>
    <s v="ahorros"/>
    <n v="69143.27"/>
    <d v="2022-02-02T00:00:00"/>
    <d v="2017-07-05T00:00:00"/>
    <s v="DIBOLL"/>
    <s v="Meadow Lake"/>
    <n v="1243"/>
    <s v="Inactivo"/>
    <n v="290.541"/>
    <n v="238"/>
    <x v="1"/>
  </r>
  <r>
    <n v="772"/>
    <s v="Vivi"/>
    <s v="Matthaus"/>
    <n v="111901580"/>
    <s v="corriente"/>
    <n v="101735.86"/>
    <d v="2020-02-28T00:00:00"/>
    <d v="2018-08-15T00:00:00"/>
    <s v="BROWNWOOD"/>
    <s v="Banjar Yehsatang"/>
    <n v="1948"/>
    <s v="Inactivo"/>
    <n v="272.0591"/>
    <n v="374"/>
    <x v="0"/>
  </r>
  <r>
    <n v="773"/>
    <s v="Marianna"/>
    <s v="Cordelette"/>
    <n v="81519507"/>
    <s v="ahorros"/>
    <n v="139188.70000000001"/>
    <d v="2025-06-01T00:00:00"/>
    <d v="2016-11-24T00:00:00"/>
    <s v="DEXTER"/>
    <s v="Shihuiqiao"/>
    <n v="28"/>
    <s v="Activo"/>
    <n v="390.3451"/>
    <n v="357"/>
    <x v="0"/>
  </r>
  <r>
    <n v="774"/>
    <s v="Abner"/>
    <s v="Tann"/>
    <n v="41201512"/>
    <s v="ahorros"/>
    <n v="100392.42"/>
    <d v="2024-03-12T00:00:00"/>
    <d v="2016-11-07T00:00:00"/>
    <s v="NEWARK"/>
    <s v="Isoka"/>
    <n v="474"/>
    <s v="Inactivo"/>
    <n v="363.22890000000001"/>
    <n v="276"/>
    <x v="1"/>
  </r>
  <r>
    <n v="775"/>
    <s v="Mordecai"/>
    <s v="Kigelman"/>
    <n v="221270347"/>
    <s v="ahorros"/>
    <n v="129104.32000000001"/>
    <d v="2024-04-20T00:00:00"/>
    <d v="2016-04-17T00:00:00"/>
    <s v="RICHMOND"/>
    <s v="les Escaldes"/>
    <n v="435"/>
    <s v="Inactivo"/>
    <n v="367.96359999999999"/>
    <n v="351"/>
    <x v="0"/>
  </r>
  <r>
    <n v="776"/>
    <s v="Adham"/>
    <s v="Grimwood"/>
    <n v="71921396"/>
    <s v="corriente"/>
    <n v="140180.95000000001"/>
    <d v="2024-07-24T00:00:00"/>
    <d v="2016-12-06T00:00:00"/>
    <s v="NAPERVILLE"/>
    <s v="Lamalera"/>
    <n v="340"/>
    <s v="Activo"/>
    <n v="374.24040000000002"/>
    <n v="375"/>
    <x v="0"/>
  </r>
  <r>
    <n v="777"/>
    <s v="Karolina"/>
    <s v="Jones"/>
    <n v="11200365"/>
    <s v="ahorros"/>
    <n v="216812.87"/>
    <d v="2024-04-12T00:00:00"/>
    <d v="2016-02-26T00:00:00"/>
    <s v="HENRICO"/>
    <s v="Tena"/>
    <n v="443"/>
    <s v="Inactivo"/>
    <n v="367.1508"/>
    <n v="591"/>
    <x v="0"/>
  </r>
  <r>
    <n v="778"/>
    <s v="Boy"/>
    <s v="Woolnough"/>
    <n v="21206715"/>
    <s v="ahorros"/>
    <n v="138396.91"/>
    <d v="2023-11-22T00:00:00"/>
    <d v="2018-02-05T00:00:00"/>
    <s v="WAYNE"/>
    <s v="Canomoy"/>
    <n v="585"/>
    <s v="Inactivo"/>
    <n v="356.28449999999998"/>
    <n v="388"/>
    <x v="0"/>
  </r>
  <r>
    <n v="779"/>
    <s v="Wyatan"/>
    <s v="Sholl"/>
    <n v="43315561"/>
    <s v="ahorros"/>
    <n v="58959.27"/>
    <d v="2020-04-06T00:00:00"/>
    <d v="2018-10-24T00:00:00"/>
    <s v="INDIANA"/>
    <s v="Yangmiao"/>
    <n v="1910"/>
    <s v="Inactivo"/>
    <n v="273.98419999999999"/>
    <n v="215"/>
    <x v="1"/>
  </r>
  <r>
    <n v="780"/>
    <s v="Lois"/>
    <s v="Rowlings"/>
    <n v="122243172"/>
    <s v="ahorros"/>
    <n v="82723.03"/>
    <d v="2023-07-06T00:00:00"/>
    <d v="2017-05-24T00:00:00"/>
    <s v="LOS ANGELES"/>
    <s v="Bulls"/>
    <n v="724"/>
    <s v="Inactivo"/>
    <n v="348.4572"/>
    <n v="237"/>
    <x v="1"/>
  </r>
  <r>
    <n v="781"/>
    <s v="Corny"/>
    <s v="Coppens"/>
    <n v="21200012"/>
    <s v="corriente"/>
    <n v="115483.17"/>
    <d v="2023-08-20T00:00:00"/>
    <d v="2017-02-18T00:00:00"/>
    <s v="PITTSBURGH"/>
    <s v="Jimeta"/>
    <n v="679"/>
    <s v="Inactivo"/>
    <n v="350.23439999999999"/>
    <n v="330"/>
    <x v="0"/>
  </r>
  <r>
    <n v="782"/>
    <s v="Lucio"/>
    <s v="Lowless"/>
    <n v="107006059"/>
    <s v="ahorros"/>
    <n v="77766.47"/>
    <d v="2020-11-29T00:00:00"/>
    <d v="2016-08-16T00:00:00"/>
    <s v="LAKEWOOD"/>
    <s v="Uruçuca"/>
    <n v="1673"/>
    <s v="Inactivo"/>
    <n v="275.36399999999998"/>
    <n v="282"/>
    <x v="1"/>
  </r>
  <r>
    <n v="783"/>
    <s v="Claudian"/>
    <s v="Kalinsky"/>
    <n v="67016105"/>
    <s v="corriente"/>
    <n v="142707.85999999999"/>
    <d v="2024-03-31T00:00:00"/>
    <d v="2016-02-17T00:00:00"/>
    <s v="FT. LAUDERDALE"/>
    <s v="Göteborg"/>
    <n v="455"/>
    <s v="Inactivo"/>
    <n v="365.61320000000001"/>
    <n v="390"/>
    <x v="0"/>
  </r>
  <r>
    <n v="784"/>
    <s v="Shermie"/>
    <s v="Lever"/>
    <n v="101005483"/>
    <s v="corriente"/>
    <n v="62310.71"/>
    <d v="2024-04-19T00:00:00"/>
    <d v="2016-11-15T00:00:00"/>
    <s v="LEE'S SUMMIT"/>
    <s v="San Francisco"/>
    <n v="436"/>
    <s v="Inactivo"/>
    <n v="367.87810000000002"/>
    <n v="169"/>
    <x v="1"/>
  </r>
  <r>
    <n v="785"/>
    <s v="Micaela"/>
    <s v="Pavlenkov"/>
    <n v="82907736"/>
    <s v="corriente"/>
    <n v="184194.3"/>
    <d v="2023-06-22T00:00:00"/>
    <d v="2018-08-06T00:00:00"/>
    <s v="BATESVILLE"/>
    <s v="Kristiansand S"/>
    <n v="738"/>
    <s v="Inactivo"/>
    <n v="347.7602"/>
    <n v="530"/>
    <x v="0"/>
  </r>
  <r>
    <n v="786"/>
    <s v="Malcolm"/>
    <s v="Tweed"/>
    <n v="53100559"/>
    <s v="corriente"/>
    <n v="86528.02"/>
    <d v="2022-01-22T00:00:00"/>
    <d v="2018-11-09T00:00:00"/>
    <s v="RICHMOND"/>
    <s v="Sicamous"/>
    <n v="1254"/>
    <s v="Inactivo"/>
    <n v="289.7921"/>
    <n v="299"/>
    <x v="1"/>
  </r>
  <r>
    <n v="787"/>
    <s v="Arvy"/>
    <s v="Mettetal"/>
    <n v="114922980"/>
    <s v="ahorros"/>
    <n v="173228.97"/>
    <d v="2021-03-21T00:00:00"/>
    <d v="2017-03-15T00:00:00"/>
    <s v="SUGAR LAND"/>
    <s v="Hoogeveen"/>
    <n v="1561"/>
    <s v="Inactivo"/>
    <n v="277.3809"/>
    <n v="625"/>
    <x v="0"/>
  </r>
  <r>
    <n v="788"/>
    <s v="Amandie"/>
    <s v="Hardes"/>
    <n v="81017711"/>
    <s v="corriente"/>
    <n v="162198.60999999999"/>
    <d v="2022-07-21T00:00:00"/>
    <d v="2016-04-02T00:00:00"/>
    <s v="PINE BLUFF"/>
    <s v="Remas"/>
    <n v="1074"/>
    <s v="Inactivo"/>
    <n v="310.8306"/>
    <n v="522"/>
    <x v="0"/>
  </r>
  <r>
    <n v="789"/>
    <s v="Bertie"/>
    <s v="Gudgion"/>
    <n v="123204071"/>
    <s v="ahorros"/>
    <n v="197554.12"/>
    <d v="2021-12-28T00:00:00"/>
    <d v="2016-09-23T00:00:00"/>
    <s v="SPOKANE"/>
    <s v="Qingyang"/>
    <n v="1279"/>
    <s v="Inactivo"/>
    <n v="288.47980000000001"/>
    <n v="685"/>
    <x v="0"/>
  </r>
  <r>
    <n v="790"/>
    <s v="Frederick"/>
    <s v="Whimpenny"/>
    <n v="62201892"/>
    <s v="corriente"/>
    <n v="213679.23"/>
    <d v="2024-08-08T00:00:00"/>
    <d v="2016-01-07T00:00:00"/>
    <s v="LINEVILLE"/>
    <s v="Trogan Barat"/>
    <n v="325"/>
    <s v="Activo"/>
    <n v="374.81939999999997"/>
    <n v="570"/>
    <x v="0"/>
  </r>
  <r>
    <n v="791"/>
    <s v="Aura"/>
    <s v="Moscone"/>
    <n v="44115760"/>
    <s v="ahorros"/>
    <n v="200369.19"/>
    <d v="2020-05-20T00:00:00"/>
    <d v="2018-05-22T00:00:00"/>
    <s v="CINCINNATI"/>
    <s v="Mangkon Daja"/>
    <n v="1866"/>
    <s v="Inactivo"/>
    <n v="276.15179999999998"/>
    <n v="726"/>
    <x v="0"/>
  </r>
  <r>
    <n v="792"/>
    <s v="Caren"/>
    <s v="Dellit"/>
    <n v="111322910"/>
    <s v="ahorros"/>
    <n v="129790.2"/>
    <d v="2025-06-11T00:00:00"/>
    <d v="2017-09-22T00:00:00"/>
    <s v="AMARILLO"/>
    <s v="Jablanovec"/>
    <n v="18"/>
    <s v="Activo"/>
    <n v="391.17430000000002"/>
    <n v="332"/>
    <x v="0"/>
  </r>
  <r>
    <n v="793"/>
    <s v="Judon"/>
    <s v="Antcliff"/>
    <n v="62202134"/>
    <s v="corriente"/>
    <n v="188746.83"/>
    <d v="2023-03-28T00:00:00"/>
    <d v="2017-11-15T00:00:00"/>
    <s v="BIRMINGHAM"/>
    <s v="Mondim de Basto"/>
    <n v="824"/>
    <s v="Inactivo"/>
    <n v="337.89569999999998"/>
    <n v="559"/>
    <x v="0"/>
  </r>
  <r>
    <n v="794"/>
    <s v="Odelia"/>
    <s v="Stannis"/>
    <n v="102103287"/>
    <s v="corriente"/>
    <n v="207421.43"/>
    <d v="2023-03-27T00:00:00"/>
    <d v="2017-04-03T00:00:00"/>
    <s v="HOTCHKISS"/>
    <s v="Huangbao"/>
    <n v="825"/>
    <s v="Inactivo"/>
    <n v="337.71629999999999"/>
    <n v="614"/>
    <x v="0"/>
  </r>
  <r>
    <n v="795"/>
    <s v="Susy"/>
    <s v="Threlkeld"/>
    <n v="51409142"/>
    <s v="corriente"/>
    <n v="56709.85"/>
    <d v="2022-01-19T00:00:00"/>
    <d v="2017-08-17T00:00:00"/>
    <s v="BLUEFIELD"/>
    <s v="Zhongba"/>
    <n v="1257"/>
    <s v="Inactivo"/>
    <n v="289.58819999999997"/>
    <n v="196"/>
    <x v="1"/>
  </r>
  <r>
    <n v="796"/>
    <s v="Shandra"/>
    <s v="Pressland"/>
    <n v="322270408"/>
    <s v="ahorros"/>
    <n v="31573.439999999999"/>
    <d v="2020-11-03T00:00:00"/>
    <d v="2017-07-22T00:00:00"/>
    <s v="BIRMINGHAM"/>
    <s v="Eindhoven"/>
    <n v="1699"/>
    <s v="Inactivo"/>
    <n v="275.10070000000002"/>
    <n v="115"/>
    <x v="1"/>
  </r>
  <r>
    <n v="797"/>
    <s v="Hermine"/>
    <s v="Brabon"/>
    <n v="21309997"/>
    <s v="corriente"/>
    <n v="96342.74"/>
    <d v="2024-12-10T00:00:00"/>
    <d v="2016-06-25T00:00:00"/>
    <s v="CAPE VINCENT"/>
    <s v="Halong"/>
    <n v="201"/>
    <s v="Activo"/>
    <n v="376.33390000000003"/>
    <n v="256"/>
    <x v="0"/>
  </r>
  <r>
    <n v="798"/>
    <s v="Manolo"/>
    <s v="Tearle"/>
    <n v="107006392"/>
    <s v="ahorros"/>
    <n v="90668.97"/>
    <d v="2024-08-17T00:00:00"/>
    <d v="2017-06-06T00:00:00"/>
    <s v="LAKEWOOD"/>
    <s v="Klaeng"/>
    <n v="316"/>
    <s v="Activo"/>
    <n v="375.13830000000002"/>
    <n v="242"/>
    <x v="0"/>
  </r>
  <r>
    <n v="799"/>
    <s v="Keefe"/>
    <s v="Carstairs"/>
    <n v="61203338"/>
    <s v="ahorros"/>
    <n v="139945.15"/>
    <d v="2021-08-26T00:00:00"/>
    <d v="2017-09-22T00:00:00"/>
    <s v="BAINBRIDGE"/>
    <s v="Xiaogang"/>
    <n v="1403"/>
    <s v="Inactivo"/>
    <n v="284.88619999999997"/>
    <n v="491"/>
    <x v="0"/>
  </r>
  <r>
    <n v="800"/>
    <s v="Haroun"/>
    <s v="Newlove"/>
    <n v="61120291"/>
    <s v="corriente"/>
    <n v="104125.28"/>
    <d v="2021-08-15T00:00:00"/>
    <d v="2017-01-22T00:00:00"/>
    <s v="BLAIRSVILLE"/>
    <s v="Sarae"/>
    <n v="1414"/>
    <s v="Inactivo"/>
    <n v="284.5634"/>
    <n v="366"/>
    <x v="0"/>
  </r>
  <r>
    <n v="801"/>
    <s v="Jyoti"/>
    <s v="Paolone"/>
    <n v="61192753"/>
    <s v="corriente"/>
    <n v="83046.92"/>
    <d v="2022-04-06T00:00:00"/>
    <d v="2017-07-16T00:00:00"/>
    <s v="LEXINGTON"/>
    <s v="Kladi"/>
    <n v="1180"/>
    <s v="Inactivo"/>
    <n v="299.71480000000003"/>
    <n v="277"/>
    <x v="1"/>
  </r>
  <r>
    <n v="802"/>
    <s v="Anica"/>
    <s v="Beddie"/>
    <n v="51904524"/>
    <s v="ahorros"/>
    <n v="133475.49"/>
    <d v="2020-03-10T00:00:00"/>
    <d v="2018-05-22T00:00:00"/>
    <s v="CROSS LANES"/>
    <s v="Jiangzhang"/>
    <n v="1937"/>
    <s v="Inactivo"/>
    <n v="272.49189999999999"/>
    <n v="490"/>
    <x v="0"/>
  </r>
  <r>
    <n v="803"/>
    <s v="Antonina"/>
    <s v="Carnegy"/>
    <n v="53208176"/>
    <s v="corriente"/>
    <n v="81336.33"/>
    <d v="2021-03-08T00:00:00"/>
    <d v="2016-09-21T00:00:00"/>
    <s v="THOMASVILLE"/>
    <s v="Concord"/>
    <n v="1574"/>
    <s v="Inactivo"/>
    <n v="276.75540000000001"/>
    <n v="294"/>
    <x v="1"/>
  </r>
  <r>
    <n v="804"/>
    <s v="Colette"/>
    <s v="Spaunton"/>
    <n v="51404260"/>
    <s v="corriente"/>
    <n v="29497.91"/>
    <d v="2025-04-14T00:00:00"/>
    <d v="2018-03-06T00:00:00"/>
    <s v="WILSON"/>
    <s v="Turbaco"/>
    <n v="76"/>
    <s v="Activo"/>
    <n v="386.786"/>
    <n v="76"/>
    <x v="0"/>
  </r>
  <r>
    <n v="805"/>
    <s v="Lorrie"/>
    <s v="Faireclough"/>
    <n v="61204612"/>
    <s v="ahorros"/>
    <n v="98396.08"/>
    <d v="2021-01-13T00:00:00"/>
    <d v="2016-05-06T00:00:00"/>
    <s v="MOULTRIE"/>
    <s v="Izumiōtsu"/>
    <n v="1628"/>
    <s v="Inactivo"/>
    <n v="274.8895"/>
    <n v="358"/>
    <x v="0"/>
  </r>
  <r>
    <n v="806"/>
    <s v="Milo"/>
    <s v="Yukhnev"/>
    <n v="63114690"/>
    <s v="ahorros"/>
    <n v="37237.46"/>
    <d v="2022-04-29T00:00:00"/>
    <d v="2017-10-26T00:00:00"/>
    <s v="STARKVILLE"/>
    <s v="El Caño"/>
    <n v="1157"/>
    <s v="Inactivo"/>
    <n v="302.5265"/>
    <n v="123"/>
    <x v="1"/>
  </r>
  <r>
    <n v="807"/>
    <s v="Maurita"/>
    <s v="Herculeson"/>
    <n v="111908004"/>
    <s v="corriente"/>
    <n v="66230.080000000002"/>
    <d v="2021-02-14T00:00:00"/>
    <d v="2017-07-23T00:00:00"/>
    <s v="SEYMOUR"/>
    <s v="Pingshi"/>
    <n v="1596"/>
    <s v="Inactivo"/>
    <n v="275.87360000000001"/>
    <n v="240"/>
    <x v="1"/>
  </r>
  <r>
    <n v="808"/>
    <s v="Leigha"/>
    <s v="Cornelis"/>
    <n v="103101822"/>
    <s v="corriente"/>
    <n v="187611.66"/>
    <d v="2021-02-01T00:00:00"/>
    <d v="2016-01-22T00:00:00"/>
    <s v="CLINTON"/>
    <s v="Bingerville"/>
    <n v="1609"/>
    <s v="Inactivo"/>
    <n v="275.43520000000001"/>
    <n v="681"/>
    <x v="0"/>
  </r>
  <r>
    <n v="809"/>
    <s v="Mikaela"/>
    <s v="Slaney"/>
    <n v="53112686"/>
    <s v="corriente"/>
    <n v="13995.99"/>
    <d v="2023-11-01T00:00:00"/>
    <d v="2016-07-05T00:00:00"/>
    <s v="HERMITAGE"/>
    <s v="Mamboma"/>
    <n v="606"/>
    <s v="Inactivo"/>
    <n v="355.21199999999999"/>
    <n v="39"/>
    <x v="1"/>
  </r>
  <r>
    <n v="810"/>
    <s v="Ave"/>
    <s v="Phillot"/>
    <n v="122287183"/>
    <s v="ahorros"/>
    <n v="13237.13"/>
    <d v="2021-10-14T00:00:00"/>
    <d v="2018-04-07T00:00:00"/>
    <s v="CARLSBAD"/>
    <s v="Al Wajh"/>
    <n v="1354"/>
    <s v="Inactivo"/>
    <n v="286.71570000000003"/>
    <n v="46"/>
    <x v="1"/>
  </r>
  <r>
    <n v="811"/>
    <s v="Grayce"/>
    <s v="Clemoes"/>
    <n v="111906271"/>
    <s v="ahorros"/>
    <n v="66639.41"/>
    <d v="2024-02-05T00:00:00"/>
    <d v="2017-05-04T00:00:00"/>
    <s v="KILLEEN"/>
    <s v="Nancy"/>
    <n v="510"/>
    <s v="Inactivo"/>
    <n v="359.73739999999998"/>
    <n v="185"/>
    <x v="1"/>
  </r>
  <r>
    <n v="812"/>
    <s v="Peyter"/>
    <s v="Washington"/>
    <n v="111313631"/>
    <s v="corriente"/>
    <n v="110921.78"/>
    <d v="2024-08-01T00:00:00"/>
    <d v="2017-04-23T00:00:00"/>
    <s v="CROSBYTON"/>
    <s v="Puyung"/>
    <n v="332"/>
    <s v="Activo"/>
    <n v="374.54899999999998"/>
    <n v="296"/>
    <x v="0"/>
  </r>
  <r>
    <n v="813"/>
    <s v="Amble"/>
    <s v="Franciottoi"/>
    <n v="63100277"/>
    <s v="ahorros"/>
    <n v="108467.3"/>
    <d v="2022-11-03T00:00:00"/>
    <d v="2018-07-23T00:00:00"/>
    <s v="HENRICO"/>
    <s v="Berlin"/>
    <n v="969"/>
    <s v="Inactivo"/>
    <n v="319.65429999999998"/>
    <n v="339"/>
    <x v="0"/>
  </r>
  <r>
    <n v="814"/>
    <s v="Booth"/>
    <s v="Heinecke"/>
    <n v="221370878"/>
    <s v="corriente"/>
    <n v="20359.400000000001"/>
    <d v="2021-05-18T00:00:00"/>
    <d v="2016-01-22T00:00:00"/>
    <s v="CANTON"/>
    <s v="Auas"/>
    <n v="1503"/>
    <s v="Inactivo"/>
    <n v="280.3931"/>
    <n v="73"/>
    <x v="1"/>
  </r>
  <r>
    <n v="815"/>
    <s v="Adolphus"/>
    <s v="Bristoe"/>
    <n v="53112275"/>
    <s v="corriente"/>
    <n v="53503.02"/>
    <d v="2024-01-02T00:00:00"/>
    <d v="2017-06-16T00:00:00"/>
    <s v="HERMITAGE"/>
    <s v="Letlhakeng"/>
    <n v="544"/>
    <s v="Inactivo"/>
    <n v="357.94040000000001"/>
    <n v="149"/>
    <x v="1"/>
  </r>
  <r>
    <n v="816"/>
    <s v="Tate"/>
    <s v="Colwell"/>
    <n v="82901596"/>
    <s v="ahorros"/>
    <n v="88156.83"/>
    <d v="2022-03-09T00:00:00"/>
    <d v="2016-09-20T00:00:00"/>
    <s v="WARREN"/>
    <s v="Perre"/>
    <n v="1208"/>
    <s v="Inactivo"/>
    <n v="295.2457"/>
    <n v="299"/>
    <x v="1"/>
  </r>
  <r>
    <n v="817"/>
    <s v="Yale"/>
    <s v="Bernadon"/>
    <n v="111025013"/>
    <s v="corriente"/>
    <n v="78195.66"/>
    <d v="2023-01-27T00:00:00"/>
    <d v="2016-02-15T00:00:00"/>
    <s v="MINNEAPOLIS"/>
    <s v="Sedayulawas"/>
    <n v="884"/>
    <s v="Inactivo"/>
    <n v="327.1816"/>
    <n v="239"/>
    <x v="1"/>
  </r>
  <r>
    <n v="818"/>
    <s v="Justino"/>
    <s v="Gashion"/>
    <n v="75900465"/>
    <s v="corriente"/>
    <n v="77485.86"/>
    <d v="2024-06-29T00:00:00"/>
    <d v="2018-06-04T00:00:00"/>
    <s v="ST. PAUL"/>
    <s v="Zghartā"/>
    <n v="365"/>
    <s v="Inactivo"/>
    <n v="373.03870000000001"/>
    <n v="208"/>
    <x v="0"/>
  </r>
  <r>
    <n v="819"/>
    <s v="Sher"/>
    <s v="Frowde"/>
    <n v="231271404"/>
    <s v="ahorros"/>
    <n v="49407.19"/>
    <d v="2023-07-05T00:00:00"/>
    <d v="2016-04-14T00:00:00"/>
    <s v="WYOMISSING"/>
    <s v="Pericik"/>
    <n v="725"/>
    <s v="Inactivo"/>
    <n v="348.4074"/>
    <n v="142"/>
    <x v="1"/>
  </r>
  <r>
    <n v="820"/>
    <s v="Penrod"/>
    <s v="Oxlee"/>
    <n v="102103562"/>
    <s v="corriente"/>
    <n v="87112.48"/>
    <d v="2024-08-15T00:00:00"/>
    <d v="2017-10-08T00:00:00"/>
    <s v="CALHAN"/>
    <s v="Kohila"/>
    <n v="318"/>
    <s v="Activo"/>
    <n v="375.0899"/>
    <n v="232"/>
    <x v="0"/>
  </r>
  <r>
    <n v="821"/>
    <s v="Pauly"/>
    <s v="Forsdyke"/>
    <n v="111319538"/>
    <s v="corriente"/>
    <n v="95077.759999999995"/>
    <d v="2022-09-30T00:00:00"/>
    <d v="2016-09-22T00:00:00"/>
    <s v="QUITAQUE"/>
    <s v="Klwów"/>
    <n v="1003"/>
    <s v="Inactivo"/>
    <n v="316.2371"/>
    <n v="301"/>
    <x v="1"/>
  </r>
  <r>
    <n v="822"/>
    <s v="Elaine"/>
    <s v="Chaffyn"/>
    <n v="122217056"/>
    <s v="corriente"/>
    <n v="44882.400000000001"/>
    <d v="2021-12-04T00:00:00"/>
    <d v="2018-08-08T00:00:00"/>
    <s v="ENGLEWOOD CLIFFS"/>
    <s v="Kore"/>
    <n v="1303"/>
    <s v="Inactivo"/>
    <n v="287.86649999999997"/>
    <n v="156"/>
    <x v="1"/>
  </r>
  <r>
    <n v="823"/>
    <s v="Obediah"/>
    <s v="Norewood"/>
    <n v="43300712"/>
    <s v="corriente"/>
    <n v="142699.98000000001"/>
    <d v="2022-11-11T00:00:00"/>
    <d v="2017-07-10T00:00:00"/>
    <s v="HERMITAGE"/>
    <s v="Baohe"/>
    <n v="961"/>
    <s v="Inactivo"/>
    <n v="320.41879999999998"/>
    <n v="445"/>
    <x v="0"/>
  </r>
  <r>
    <n v="824"/>
    <s v="Waverly"/>
    <s v="Kirwan"/>
    <n v="84202837"/>
    <s v="corriente"/>
    <n v="178521.33"/>
    <d v="2021-07-14T00:00:00"/>
    <d v="2018-06-29T00:00:00"/>
    <s v="TUPELO"/>
    <s v="Coari"/>
    <n v="1446"/>
    <s v="Inactivo"/>
    <n v="284.6114"/>
    <n v="627"/>
    <x v="0"/>
  </r>
  <r>
    <n v="825"/>
    <s v="Camilla"/>
    <s v="Dansie"/>
    <n v="111300945"/>
    <s v="ahorros"/>
    <n v="101077.36"/>
    <d v="2021-08-30T00:00:00"/>
    <d v="2017-11-08T00:00:00"/>
    <s v="HENRICO"/>
    <s v="Jiukeng"/>
    <n v="1399"/>
    <s v="Inactivo"/>
    <n v="285.00369999999998"/>
    <n v="355"/>
    <x v="0"/>
  </r>
  <r>
    <n v="826"/>
    <s v="Chandra"/>
    <s v="Deans"/>
    <n v="271974295"/>
    <s v="ahorros"/>
    <n v="160648.38"/>
    <d v="2021-11-24T00:00:00"/>
    <d v="2016-08-24T00:00:00"/>
    <s v="NAPERVILLE"/>
    <s v="Pļaviņas"/>
    <n v="1313"/>
    <s v="Inactivo"/>
    <n v="287.8569"/>
    <n v="558"/>
    <x v="0"/>
  </r>
  <r>
    <n v="827"/>
    <s v="Bili"/>
    <s v="Elwin"/>
    <n v="43403282"/>
    <s v="ahorros"/>
    <n v="172907.63"/>
    <d v="2022-02-23T00:00:00"/>
    <d v="2017-04-29T00:00:00"/>
    <s v="WHEELING"/>
    <s v="Vyshneye Dolgoye"/>
    <n v="1222"/>
    <s v="Inactivo"/>
    <n v="292.81079999999997"/>
    <n v="591"/>
    <x v="0"/>
  </r>
  <r>
    <n v="828"/>
    <s v="Pia"/>
    <s v="Phin"/>
    <n v="75902463"/>
    <s v="corriente"/>
    <n v="94628.38"/>
    <d v="2020-10-28T00:00:00"/>
    <d v="2016-07-17T00:00:00"/>
    <s v="HARTFORD"/>
    <s v="Villa Santa Rita"/>
    <n v="1705"/>
    <s v="Inactivo"/>
    <n v="274.93060000000003"/>
    <n v="344"/>
    <x v="0"/>
  </r>
  <r>
    <n v="829"/>
    <s v="Petronille"/>
    <s v="Alliband"/>
    <n v="101213204"/>
    <s v="corriente"/>
    <n v="61169.41"/>
    <d v="2020-07-05T00:00:00"/>
    <d v="2016-09-19T00:00:00"/>
    <s v="BATESVILLE"/>
    <s v="Stony Plain"/>
    <n v="1820"/>
    <s v="Inactivo"/>
    <n v="275.93209999999999"/>
    <n v="222"/>
    <x v="1"/>
  </r>
  <r>
    <n v="830"/>
    <s v="Jordanna"/>
    <s v="Heynel"/>
    <n v="74905474"/>
    <s v="corriente"/>
    <n v="204918.63"/>
    <d v="2025-04-17T00:00:00"/>
    <d v="2016-05-26T00:00:00"/>
    <s v="BERNE"/>
    <s v="La Cueva"/>
    <n v="73"/>
    <s v="Activo"/>
    <n v="387.06130000000002"/>
    <n v="529"/>
    <x v="0"/>
  </r>
  <r>
    <n v="831"/>
    <s v="Winnie"/>
    <s v="Morgans"/>
    <n v="122234149"/>
    <s v="corriente"/>
    <n v="47908.71"/>
    <d v="2024-09-07T00:00:00"/>
    <d v="2016-01-28T00:00:00"/>
    <s v="ONTARIO"/>
    <s v="Limonade"/>
    <n v="295"/>
    <s v="Activo"/>
    <n v="375.6463"/>
    <n v="128"/>
    <x v="0"/>
  </r>
  <r>
    <n v="832"/>
    <s v="Jacquenette"/>
    <s v="Habershon"/>
    <n v="64000020"/>
    <s v="corriente"/>
    <n v="37976.01"/>
    <d v="2020-04-23T00:00:00"/>
    <d v="2018-03-24T00:00:00"/>
    <s v="HENRICO"/>
    <s v="Al Muharraq"/>
    <n v="1893"/>
    <s v="Inactivo"/>
    <n v="274.9323"/>
    <n v="138"/>
    <x v="1"/>
  </r>
  <r>
    <n v="833"/>
    <s v="Trevar"/>
    <s v="Skains"/>
    <n v="124302257"/>
    <s v="corriente"/>
    <n v="79131.19"/>
    <d v="2024-10-04T00:00:00"/>
    <d v="2018-11-26T00:00:00"/>
    <s v="SPOKANE"/>
    <s v="Shuiying"/>
    <n v="268"/>
    <s v="Activo"/>
    <n v="375.84010000000001"/>
    <n v="211"/>
    <x v="0"/>
  </r>
  <r>
    <n v="834"/>
    <s v="Beckie"/>
    <s v="Smalman"/>
    <n v="113008083"/>
    <s v="ahorros"/>
    <n v="36270.31"/>
    <d v="2022-03-22T00:00:00"/>
    <d v="2017-08-26T00:00:00"/>
    <s v="SUGAR LAND"/>
    <s v="Złoty Stok"/>
    <n v="1195"/>
    <s v="Inactivo"/>
    <n v="297.37909999999999"/>
    <n v="122"/>
    <x v="1"/>
  </r>
  <r>
    <n v="835"/>
    <s v="Dud"/>
    <s v="Wellen"/>
    <n v="122244744"/>
    <s v="ahorros"/>
    <n v="135174.79"/>
    <d v="2023-03-27T00:00:00"/>
    <d v="2017-12-30T00:00:00"/>
    <s v="CARLSBAD"/>
    <s v="Carapicuíba"/>
    <n v="825"/>
    <s v="Inactivo"/>
    <n v="337.71629999999999"/>
    <n v="400"/>
    <x v="0"/>
  </r>
  <r>
    <n v="836"/>
    <s v="Emmit"/>
    <s v="Rentalll"/>
    <n v="91915133"/>
    <s v="corriente"/>
    <n v="59358.75"/>
    <d v="2021-01-09T00:00:00"/>
    <d v="2017-06-09T00:00:00"/>
    <s v="WEST CONCORD"/>
    <s v="Concord"/>
    <n v="1632"/>
    <s v="Inactivo"/>
    <n v="274.94279999999998"/>
    <n v="216"/>
    <x v="1"/>
  </r>
  <r>
    <n v="837"/>
    <s v="Rosmunda"/>
    <s v="Tenney"/>
    <n v="81517981"/>
    <s v="ahorros"/>
    <n v="201416.29"/>
    <d v="2021-12-13T00:00:00"/>
    <d v="2018-02-24T00:00:00"/>
    <s v="SPRINGFIELD"/>
    <s v="Piedade"/>
    <n v="1294"/>
    <s v="Inactivo"/>
    <n v="287.87520000000001"/>
    <n v="700"/>
    <x v="0"/>
  </r>
  <r>
    <n v="838"/>
    <s v="Rosamund"/>
    <s v="Udell"/>
    <n v="11305749"/>
    <s v="corriente"/>
    <n v="126239.92"/>
    <d v="2020-01-31T00:00:00"/>
    <d v="2018-11-07T00:00:00"/>
    <s v="LEWISTON"/>
    <s v="Puncakmanis"/>
    <n v="1976"/>
    <s v="Inactivo"/>
    <n v="271.20740000000001"/>
    <n v="465"/>
    <x v="0"/>
  </r>
  <r>
    <n v="839"/>
    <s v="Erie"/>
    <s v="Byfford"/>
    <n v="63114920"/>
    <s v="ahorros"/>
    <n v="67782.28"/>
    <d v="2023-05-23T00:00:00"/>
    <d v="2017-06-21T00:00:00"/>
    <s v="STARKVILLE"/>
    <s v="Dongzhaogezhuang"/>
    <n v="768"/>
    <s v="Inactivo"/>
    <n v="345.4153"/>
    <n v="196"/>
    <x v="1"/>
  </r>
  <r>
    <n v="840"/>
    <s v="Viviene"/>
    <s v="Caffrey"/>
    <n v="81000058"/>
    <s v="ahorros"/>
    <n v="174369.48"/>
    <d v="2022-01-02T00:00:00"/>
    <d v="2017-05-29T00:00:00"/>
    <s v="RICHMOND"/>
    <s v="Kopychyntsi"/>
    <n v="1274"/>
    <s v="Inactivo"/>
    <n v="288.71199999999999"/>
    <n v="604"/>
    <x v="0"/>
  </r>
  <r>
    <n v="841"/>
    <s v="Kore"/>
    <s v="Leetham"/>
    <n v="111000258"/>
    <s v="corriente"/>
    <n v="87577.04"/>
    <d v="2020-02-10T00:00:00"/>
    <d v="2016-04-20T00:00:00"/>
    <s v="HENRICO"/>
    <s v="Altay"/>
    <n v="1966"/>
    <s v="Inactivo"/>
    <n v="271.43470000000002"/>
    <n v="323"/>
    <x v="0"/>
  </r>
  <r>
    <n v="842"/>
    <s v="Hilly"/>
    <s v="Kleinstub"/>
    <n v="221371822"/>
    <s v="ahorros"/>
    <n v="114948.32"/>
    <d v="2023-03-23T00:00:00"/>
    <d v="2016-11-06T00:00:00"/>
    <s v="BUFFALO"/>
    <s v="Hradec nad Moravici"/>
    <n v="829"/>
    <s v="Inactivo"/>
    <n v="336.99970000000002"/>
    <n v="341"/>
    <x v="0"/>
  </r>
  <r>
    <n v="843"/>
    <s v="Prisca"/>
    <s v="Germon"/>
    <n v="42215248"/>
    <s v="ahorros"/>
    <n v="162279.98000000001"/>
    <d v="2022-07-02T00:00:00"/>
    <d v="2017-03-02T00:00:00"/>
    <s v="CLEVELAND"/>
    <s v="Montonggamang"/>
    <n v="1093"/>
    <s v="Inactivo"/>
    <n v="309.40109999999999"/>
    <n v="524"/>
    <x v="0"/>
  </r>
  <r>
    <n v="844"/>
    <s v="Dolorita"/>
    <s v="Moehle"/>
    <n v="121140713"/>
    <s v="ahorros"/>
    <n v="102762.4"/>
    <d v="2021-07-09T00:00:00"/>
    <d v="2016-09-20T00:00:00"/>
    <s v="SAN DIEGO"/>
    <s v="Sirre"/>
    <n v="1451"/>
    <s v="Inactivo"/>
    <n v="284.1397"/>
    <n v="362"/>
    <x v="0"/>
  </r>
  <r>
    <n v="845"/>
    <s v="Aldus"/>
    <s v="Piwell"/>
    <n v="265070532"/>
    <s v="ahorros"/>
    <n v="103425.23"/>
    <d v="2023-10-10T00:00:00"/>
    <d v="2018-11-27T00:00:00"/>
    <s v="NEW ORLEANS"/>
    <s v="La Cruz"/>
    <n v="628"/>
    <s v="Inactivo"/>
    <n v="353.75299999999999"/>
    <n v="292"/>
    <x v="1"/>
  </r>
  <r>
    <n v="846"/>
    <s v="Jenine"/>
    <s v="Mc Menamin"/>
    <n v="71921176"/>
    <s v="ahorros"/>
    <n v="50770.43"/>
    <d v="2022-01-23T00:00:00"/>
    <d v="2017-02-08T00:00:00"/>
    <s v="NAPERVILLE"/>
    <s v="Panganiban"/>
    <n v="1253"/>
    <s v="Inactivo"/>
    <n v="289.86009999999999"/>
    <n v="175"/>
    <x v="1"/>
  </r>
  <r>
    <n v="847"/>
    <s v="Caldwell"/>
    <s v="Orr"/>
    <n v="124001545"/>
    <s v="corriente"/>
    <n v="204318.82"/>
    <d v="2020-06-16T00:00:00"/>
    <d v="2017-01-28T00:00:00"/>
    <s v="TAMPA"/>
    <s v="Yuanyang Zhen"/>
    <n v="1839"/>
    <s v="Inactivo"/>
    <n v="276.49279999999999"/>
    <n v="739"/>
    <x v="0"/>
  </r>
  <r>
    <n v="848"/>
    <s v="Ardelis"/>
    <s v="Rustadge"/>
    <n v="242272188"/>
    <s v="ahorros"/>
    <n v="157326.1"/>
    <d v="2022-09-01T00:00:00"/>
    <d v="2017-06-24T00:00:00"/>
    <s v="CINCINNATI"/>
    <s v="Wonopringgo"/>
    <n v="1032"/>
    <s v="Inactivo"/>
    <n v="313.49220000000003"/>
    <n v="502"/>
    <x v="0"/>
  </r>
  <r>
    <n v="849"/>
    <s v="Eden"/>
    <s v="Lotwich"/>
    <n v="67016354"/>
    <s v="corriente"/>
    <n v="44840.83"/>
    <d v="2023-11-24T00:00:00"/>
    <d v="2016-11-26T00:00:00"/>
    <s v="WAYNE"/>
    <s v="Elimäki"/>
    <n v="583"/>
    <s v="Inactivo"/>
    <n v="356.34379999999999"/>
    <n v="126"/>
    <x v="1"/>
  </r>
  <r>
    <n v="850"/>
    <s v="Maressa"/>
    <s v="Trinke"/>
    <n v="41202812"/>
    <s v="corriente"/>
    <n v="199951.98"/>
    <d v="2020-08-03T00:00:00"/>
    <d v="2016-11-14T00:00:00"/>
    <s v="COLUMBUS"/>
    <s v="Ostankinskiy"/>
    <n v="1791"/>
    <s v="Inactivo"/>
    <n v="274.995"/>
    <n v="727"/>
    <x v="0"/>
  </r>
  <r>
    <n v="851"/>
    <s v="Valeria"/>
    <s v="Caudrelier"/>
    <n v="61000078"/>
    <s v="corriente"/>
    <n v="147156.85"/>
    <d v="2024-11-29T00:00:00"/>
    <d v="2017-06-23T00:00:00"/>
    <s v="RICHMOND"/>
    <s v="Yaguarón"/>
    <n v="212"/>
    <s v="Activo"/>
    <n v="376.51350000000002"/>
    <n v="391"/>
    <x v="0"/>
  </r>
  <r>
    <n v="852"/>
    <s v="Tobye"/>
    <s v="Yukhnini"/>
    <n v="31304720"/>
    <s v="ahorros"/>
    <n v="202812.32"/>
    <d v="2020-09-30T00:00:00"/>
    <d v="2016-05-13T00:00:00"/>
    <s v="AMHERST"/>
    <s v="Linjiang"/>
    <n v="1733"/>
    <s v="Inactivo"/>
    <n v="274.5763"/>
    <n v="739"/>
    <x v="0"/>
  </r>
  <r>
    <n v="853"/>
    <s v="Abagael"/>
    <s v="Keyte"/>
    <n v="121140742"/>
    <s v="corriente"/>
    <n v="32912.75"/>
    <d v="2020-01-15T00:00:00"/>
    <d v="2016-06-28T00:00:00"/>
    <s v="SAN DIEGO"/>
    <s v="Texíguat"/>
    <n v="1992"/>
    <s v="Inactivo"/>
    <n v="270.8442"/>
    <n v="122"/>
    <x v="1"/>
  </r>
  <r>
    <n v="854"/>
    <s v="Kathi"/>
    <s v="Eccersley"/>
    <n v="53202130"/>
    <s v="ahorros"/>
    <n v="74575.88"/>
    <d v="2022-11-01T00:00:00"/>
    <d v="2016-09-03T00:00:00"/>
    <s v="WALHALLA"/>
    <s v="Judita"/>
    <n v="971"/>
    <s v="Inactivo"/>
    <n v="319.46339999999998"/>
    <n v="233"/>
    <x v="1"/>
  </r>
  <r>
    <n v="855"/>
    <s v="Halie"/>
    <s v="Renshell"/>
    <n v="75903763"/>
    <s v="ahorros"/>
    <n v="51401.73"/>
    <d v="2023-01-10T00:00:00"/>
    <d v="2016-04-24T00:00:00"/>
    <s v="MARKESAN"/>
    <s v="Pangkalan"/>
    <n v="901"/>
    <s v="Inactivo"/>
    <n v="325.197"/>
    <n v="158"/>
    <x v="1"/>
  </r>
  <r>
    <n v="856"/>
    <s v="Diahann"/>
    <s v="Chadbourne"/>
    <n v="122201198"/>
    <s v="ahorros"/>
    <n v="106379.4"/>
    <d v="2023-04-22T00:00:00"/>
    <d v="2018-12-29T00:00:00"/>
    <s v="SEAL BEACH"/>
    <s v="Velikiy Ustyug"/>
    <n v="799"/>
    <s v="Inactivo"/>
    <n v="341.97390000000001"/>
    <n v="311"/>
    <x v="1"/>
  </r>
  <r>
    <n v="857"/>
    <s v="Persis"/>
    <s v="Griffen"/>
    <n v="211370354"/>
    <s v="ahorros"/>
    <n v="139440.46"/>
    <d v="2023-10-20T00:00:00"/>
    <d v="2016-10-06T00:00:00"/>
    <s v="LYNN"/>
    <s v="Krasnokamensk"/>
    <n v="618"/>
    <s v="Inactivo"/>
    <n v="354.47230000000002"/>
    <n v="393"/>
    <x v="0"/>
  </r>
  <r>
    <n v="858"/>
    <s v="Ivy"/>
    <s v="Oake"/>
    <n v="83900680"/>
    <s v="ahorros"/>
    <n v="102524.47"/>
    <d v="2021-02-12T00:00:00"/>
    <d v="2016-02-20T00:00:00"/>
    <s v="WILSON"/>
    <s v="Dresi Wetan"/>
    <n v="1598"/>
    <s v="Inactivo"/>
    <n v="275.80610000000001"/>
    <n v="372"/>
    <x v="0"/>
  </r>
  <r>
    <n v="859"/>
    <s v="Tim"/>
    <s v="O'Grady"/>
    <n v="102103999"/>
    <s v="ahorros"/>
    <n v="109193.57"/>
    <d v="2021-08-04T00:00:00"/>
    <d v="2018-08-05T00:00:00"/>
    <s v="LAKEWOOD"/>
    <s v="Licupis"/>
    <n v="1425"/>
    <s v="Inactivo"/>
    <n v="284.61399999999998"/>
    <n v="384"/>
    <x v="0"/>
  </r>
  <r>
    <n v="860"/>
    <s v="Elbert"/>
    <s v="Aymes"/>
    <n v="31307866"/>
    <s v="corriente"/>
    <n v="76295.92"/>
    <d v="2021-05-26T00:00:00"/>
    <d v="2016-08-29T00:00:00"/>
    <s v="HERMITAGE"/>
    <s v="Omsk"/>
    <n v="1495"/>
    <s v="Inactivo"/>
    <n v="280.81909999999999"/>
    <n v="272"/>
    <x v="1"/>
  </r>
  <r>
    <n v="861"/>
    <s v="Ravi"/>
    <s v="Durham"/>
    <n v="103104353"/>
    <s v="corriente"/>
    <n v="64701.61"/>
    <d v="2022-06-06T00:00:00"/>
    <d v="2016-04-26T00:00:00"/>
    <s v="CARNEGIE"/>
    <s v="Ţafas"/>
    <n v="1119"/>
    <s v="Inactivo"/>
    <n v="306.82940000000002"/>
    <n v="211"/>
    <x v="1"/>
  </r>
  <r>
    <n v="862"/>
    <s v="Waite"/>
    <s v="Martinson"/>
    <n v="101019084"/>
    <s v="ahorros"/>
    <n v="169867.22"/>
    <d v="2023-06-24T00:00:00"/>
    <d v="2017-07-23T00:00:00"/>
    <s v="KANSAS CITY"/>
    <s v="New York City"/>
    <n v="736"/>
    <s v="Inactivo"/>
    <n v="347.85969999999998"/>
    <n v="488"/>
    <x v="0"/>
  </r>
  <r>
    <n v="863"/>
    <s v="Esra"/>
    <s v="Noddings"/>
    <n v="121200158"/>
    <s v="ahorros"/>
    <n v="181541.24"/>
    <d v="2023-08-21T00:00:00"/>
    <d v="2017-12-31T00:00:00"/>
    <s v="RICHMOND"/>
    <s v="Fauske"/>
    <n v="678"/>
    <s v="Inactivo"/>
    <n v="350.29079999999999"/>
    <n v="518"/>
    <x v="0"/>
  </r>
  <r>
    <n v="864"/>
    <s v="Lucina"/>
    <s v="Danielsson"/>
    <n v="53112673"/>
    <s v="ahorros"/>
    <n v="112861.87"/>
    <d v="2021-07-02T00:00:00"/>
    <d v="2018-12-09T00:00:00"/>
    <s v="OXFORD"/>
    <s v="Santa Maria da Vitória"/>
    <n v="1458"/>
    <s v="Inactivo"/>
    <n v="283.48079999999999"/>
    <n v="398"/>
    <x v="0"/>
  </r>
  <r>
    <n v="865"/>
    <s v="Ardisj"/>
    <s v="Battersby"/>
    <n v="122106109"/>
    <s v="corriente"/>
    <n v="71443.28"/>
    <d v="2022-02-20T00:00:00"/>
    <d v="2018-08-18T00:00:00"/>
    <s v="SCOTTSDALE"/>
    <s v="Dzyatlava"/>
    <n v="1225"/>
    <s v="Inactivo"/>
    <n v="292.29169999999999"/>
    <n v="244"/>
    <x v="1"/>
  </r>
  <r>
    <n v="866"/>
    <s v="Berty"/>
    <s v="Curtiss"/>
    <n v="72408708"/>
    <s v="ahorros"/>
    <n v="184156.33"/>
    <d v="2024-02-13T00:00:00"/>
    <d v="2016-10-24T00:00:00"/>
    <s v="BELDING"/>
    <s v="Zombo"/>
    <n v="502"/>
    <s v="Inactivo"/>
    <n v="360.15449999999998"/>
    <n v="511"/>
    <x v="0"/>
  </r>
  <r>
    <n v="867"/>
    <s v="Nyssa"/>
    <s v="Frisch"/>
    <n v="73912073"/>
    <s v="ahorros"/>
    <n v="133782.28"/>
    <d v="2021-11-06T00:00:00"/>
    <d v="2018-03-03T00:00:00"/>
    <s v="IDA GROVE"/>
    <s v="Strängnäs"/>
    <n v="1331"/>
    <s v="Inactivo"/>
    <n v="287.53149999999999"/>
    <n v="465"/>
    <x v="0"/>
  </r>
  <r>
    <n v="868"/>
    <s v="Joe"/>
    <s v="Greatorex"/>
    <n v="84305129"/>
    <s v="corriente"/>
    <n v="125696.67"/>
    <d v="2021-08-25T00:00:00"/>
    <d v="2017-11-20T00:00:00"/>
    <s v="TUPELO"/>
    <s v="Sandakan"/>
    <n v="1404"/>
    <s v="Inactivo"/>
    <n v="284.85680000000002"/>
    <n v="441"/>
    <x v="0"/>
  </r>
  <r>
    <n v="869"/>
    <s v="Arlena"/>
    <s v="Langtree"/>
    <n v="75906171"/>
    <s v="ahorros"/>
    <n v="194216.68"/>
    <d v="2023-11-12T00:00:00"/>
    <d v="2017-02-09T00:00:00"/>
    <s v="MUKWONAGO"/>
    <s v="Candon"/>
    <n v="595"/>
    <s v="Inactivo"/>
    <n v="355.89150000000001"/>
    <n v="546"/>
    <x v="0"/>
  </r>
  <r>
    <n v="870"/>
    <s v="Kerrie"/>
    <s v="Dupree"/>
    <n v="63100552"/>
    <s v="ahorros"/>
    <n v="104973.16"/>
    <d v="2025-06-20T00:00:00"/>
    <d v="2018-10-24T00:00:00"/>
    <s v="RICHMOND"/>
    <s v="Xiong’erzhai"/>
    <n v="9"/>
    <s v="Activo"/>
    <n v="391.71499999999997"/>
    <n v="268"/>
    <x v="0"/>
  </r>
  <r>
    <n v="871"/>
    <s v="Frederic"/>
    <s v="Simonetti"/>
    <n v="71108669"/>
    <s v="ahorros"/>
    <n v="82585.289999999994"/>
    <d v="2021-05-07T00:00:00"/>
    <d v="2017-01-25T00:00:00"/>
    <s v="SULLIVAN"/>
    <s v="Třinec"/>
    <n v="1514"/>
    <s v="Inactivo"/>
    <n v="279.85359999999997"/>
    <n v="295"/>
    <x v="1"/>
  </r>
  <r>
    <n v="872"/>
    <s v="Sayres"/>
    <s v="Rouch"/>
    <n v="41002711"/>
    <s v="ahorros"/>
    <n v="185756.39"/>
    <d v="2022-11-09T00:00:00"/>
    <d v="2017-07-01T00:00:00"/>
    <s v="CINCINNATI"/>
    <s v="Rimouski"/>
    <n v="963"/>
    <s v="Inactivo"/>
    <n v="320.22750000000002"/>
    <n v="580"/>
    <x v="0"/>
  </r>
  <r>
    <n v="873"/>
    <s v="Osbert"/>
    <s v="LaBastida"/>
    <n v="107006075"/>
    <s v="ahorros"/>
    <n v="160376.28"/>
    <d v="2020-05-19T00:00:00"/>
    <d v="2017-07-21T00:00:00"/>
    <s v="LAKEWOOD"/>
    <s v="Lérida"/>
    <n v="1867"/>
    <s v="Inactivo"/>
    <n v="276.13760000000002"/>
    <n v="581"/>
    <x v="0"/>
  </r>
  <r>
    <n v="874"/>
    <s v="Dwayne"/>
    <s v="O'Noulane"/>
    <n v="71001685"/>
    <s v="ahorros"/>
    <n v="48640.45"/>
    <d v="2020-05-24T00:00:00"/>
    <d v="2016-09-27T00:00:00"/>
    <s v="ROSEMONT"/>
    <s v="Gikongoro"/>
    <n v="1862"/>
    <s v="Inactivo"/>
    <n v="276.2088"/>
    <n v="176"/>
    <x v="1"/>
  </r>
  <r>
    <n v="875"/>
    <s v="Holly"/>
    <s v="De la Harpe"/>
    <n v="111319347"/>
    <s v="ahorros"/>
    <n v="44190.67"/>
    <d v="2020-05-31T00:00:00"/>
    <d v="2018-09-25T00:00:00"/>
    <s v="LUBBOCK"/>
    <s v="Damatou"/>
    <n v="1855"/>
    <s v="Inactivo"/>
    <n v="276.30849999999998"/>
    <n v="160"/>
    <x v="1"/>
  </r>
  <r>
    <n v="876"/>
    <s v="Emlyn"/>
    <s v="Tutill"/>
    <n v="31315007"/>
    <s v="ahorros"/>
    <n v="16566.59"/>
    <d v="2022-09-10T00:00:00"/>
    <d v="2018-09-03T00:00:00"/>
    <s v="WILSON"/>
    <s v="Katunayaka"/>
    <n v="1023"/>
    <s v="Inactivo"/>
    <n v="314.22730000000001"/>
    <n v="53"/>
    <x v="1"/>
  </r>
  <r>
    <n v="877"/>
    <s v="Shauna"/>
    <s v="Braime"/>
    <n v="103112345"/>
    <s v="ahorros"/>
    <n v="14053.15"/>
    <d v="2025-04-09T00:00:00"/>
    <d v="2017-01-08T00:00:00"/>
    <s v="FORT SMITH"/>
    <s v="Rekowo Dolne"/>
    <n v="81"/>
    <s v="Activo"/>
    <n v="386.0795"/>
    <n v="36"/>
    <x v="0"/>
  </r>
  <r>
    <n v="878"/>
    <s v="Rafaellle"/>
    <s v="Meharry"/>
    <n v="121135773"/>
    <s v="corriente"/>
    <n v="121758.28"/>
    <d v="2021-07-19T00:00:00"/>
    <d v="2016-04-20T00:00:00"/>
    <s v="SAN JOSE"/>
    <s v="Jabłonica Polska"/>
    <n v="1441"/>
    <s v="Inactivo"/>
    <n v="284.68740000000003"/>
    <n v="428"/>
    <x v="0"/>
  </r>
  <r>
    <n v="879"/>
    <s v="Early"/>
    <s v="Clandillon"/>
    <n v="102307164"/>
    <s v="ahorros"/>
    <n v="104422.73"/>
    <d v="2021-12-20T00:00:00"/>
    <d v="2017-06-25T00:00:00"/>
    <s v="MINNEAPOLIS"/>
    <s v="San Pedro de Atacama"/>
    <n v="1287"/>
    <s v="Inactivo"/>
    <n v="288.10879999999997"/>
    <n v="362"/>
    <x v="0"/>
  </r>
  <r>
    <n v="880"/>
    <s v="Staffard"/>
    <s v="Castelow"/>
    <n v="73902274"/>
    <s v="ahorros"/>
    <n v="109599.44"/>
    <d v="2023-10-16T00:00:00"/>
    <d v="2016-08-21T00:00:00"/>
    <s v="AMES"/>
    <s v="Shancheng"/>
    <n v="622"/>
    <s v="Inactivo"/>
    <n v="354.226"/>
    <n v="309"/>
    <x v="1"/>
  </r>
  <r>
    <n v="881"/>
    <s v="Esdras"/>
    <s v="Cutchee"/>
    <n v="101104779"/>
    <s v="corriente"/>
    <n v="100224.62"/>
    <d v="2023-09-23T00:00:00"/>
    <d v="2018-04-30T00:00:00"/>
    <s v="COLDWATER"/>
    <s v="Buriti Bravo"/>
    <n v="645"/>
    <s v="Inactivo"/>
    <n v="352.35739999999998"/>
    <n v="284"/>
    <x v="1"/>
  </r>
  <r>
    <n v="882"/>
    <s v="Selby"/>
    <s v="Cusack"/>
    <n v="122240418"/>
    <s v="ahorros"/>
    <n v="177657.35"/>
    <d v="2021-11-23T00:00:00"/>
    <d v="2017-09-19T00:00:00"/>
    <s v="ALHAMBRA"/>
    <s v="Sirinhaém"/>
    <n v="1314"/>
    <s v="Inactivo"/>
    <n v="287.85599999999999"/>
    <n v="617"/>
    <x v="0"/>
  </r>
  <r>
    <n v="883"/>
    <s v="Trixy"/>
    <s v="MacNish"/>
    <n v="61110557"/>
    <s v="ahorros"/>
    <n v="69860.2"/>
    <d v="2021-02-10T00:00:00"/>
    <d v="2018-10-19T00:00:00"/>
    <s v="EATONTON"/>
    <s v="Butel"/>
    <n v="1600"/>
    <s v="Inactivo"/>
    <n v="275.73860000000002"/>
    <n v="253"/>
    <x v="1"/>
  </r>
  <r>
    <n v="884"/>
    <s v="Siegfried"/>
    <s v="Pettendrich"/>
    <n v="121181798"/>
    <s v="corriente"/>
    <n v="77812.37"/>
    <d v="2022-07-03T00:00:00"/>
    <d v="2017-07-31T00:00:00"/>
    <s v="SAN DIEGO"/>
    <s v="Boulogne-sur-Mer"/>
    <n v="1092"/>
    <s v="Inactivo"/>
    <n v="309.48739999999998"/>
    <n v="251"/>
    <x v="1"/>
  </r>
  <r>
    <n v="885"/>
    <s v="Lutero"/>
    <s v="Loveitt"/>
    <n v="61120178"/>
    <s v="corriente"/>
    <n v="162465.06"/>
    <d v="2021-06-13T00:00:00"/>
    <d v="2017-12-21T00:00:00"/>
    <s v="GRAY"/>
    <s v="Tromsø"/>
    <n v="1477"/>
    <s v="Inactivo"/>
    <n v="281.7799"/>
    <n v="577"/>
    <x v="0"/>
  </r>
  <r>
    <n v="886"/>
    <s v="Thom"/>
    <s v="Dugdale"/>
    <n v="75012531"/>
    <s v="ahorros"/>
    <n v="15446.16"/>
    <d v="2025-03-09T00:00:00"/>
    <d v="2016-11-14T00:00:00"/>
    <s v="NAPERVILLE"/>
    <s v="Neundeut"/>
    <n v="112"/>
    <s v="Activo"/>
    <n v="381.8"/>
    <n v="40"/>
    <x v="0"/>
  </r>
  <r>
    <n v="887"/>
    <s v="Maire"/>
    <s v="Yurkevich"/>
    <n v="31301053"/>
    <s v="corriente"/>
    <n v="86965.77"/>
    <d v="2020-01-05T00:00:00"/>
    <d v="2016-08-17T00:00:00"/>
    <s v="HERMITAGE"/>
    <s v="Makur"/>
    <n v="2002"/>
    <s v="Inactivo"/>
    <n v="270.75689999999997"/>
    <n v="321"/>
    <x v="1"/>
  </r>
  <r>
    <n v="888"/>
    <s v="Connie"/>
    <s v="Hebner"/>
    <n v="321170444"/>
    <s v="ahorros"/>
    <n v="70874.320000000007"/>
    <d v="2024-08-11T00:00:00"/>
    <d v="2017-11-22T00:00:00"/>
    <s v="ENGLEWOOD CLIFFS"/>
    <s v="Pergamino"/>
    <n v="322"/>
    <s v="Activo"/>
    <n v="374.93529999999998"/>
    <n v="189"/>
    <x v="0"/>
  </r>
  <r>
    <n v="889"/>
    <s v="Dewey"/>
    <s v="Bebbell"/>
    <n v="71123518"/>
    <s v="ahorros"/>
    <n v="31433.83"/>
    <d v="2022-08-12T00:00:00"/>
    <d v="2016-01-09T00:00:00"/>
    <s v="EDINBURG"/>
    <s v="Jiulonggang"/>
    <n v="1052"/>
    <s v="Inactivo"/>
    <n v="311.95479999999998"/>
    <n v="101"/>
    <x v="1"/>
  </r>
  <r>
    <n v="890"/>
    <s v="Conant"/>
    <s v="Nichols"/>
    <n v="86518749"/>
    <s v="corriente"/>
    <n v="72434.09"/>
    <d v="2021-08-15T00:00:00"/>
    <d v="2016-05-10T00:00:00"/>
    <s v="TUPELO"/>
    <s v="Nueva Loja"/>
    <n v="1414"/>
    <s v="Inactivo"/>
    <n v="284.5634"/>
    <n v="255"/>
    <x v="1"/>
  </r>
  <r>
    <n v="891"/>
    <s v="Lela"/>
    <s v="Blagdon"/>
    <n v="82903837"/>
    <s v="ahorros"/>
    <n v="212241.15"/>
    <d v="2020-08-28T00:00:00"/>
    <d v="2017-12-19T00:00:00"/>
    <s v="MAGNOLIA"/>
    <s v="Arias"/>
    <n v="1766"/>
    <s v="Inactivo"/>
    <n v="274.58999999999997"/>
    <n v="773"/>
    <x v="0"/>
  </r>
  <r>
    <n v="892"/>
    <s v="Raphael"/>
    <s v="Giordano"/>
    <n v="72400670"/>
    <s v="corriente"/>
    <n v="70396.02"/>
    <d v="2024-11-12T00:00:00"/>
    <d v="2016-07-26T00:00:00"/>
    <s v="CLEVELAND"/>
    <s v="Tubualá"/>
    <n v="229"/>
    <s v="Activo"/>
    <n v="376.65469999999999"/>
    <n v="187"/>
    <x v="0"/>
  </r>
  <r>
    <n v="893"/>
    <s v="Mia"/>
    <s v="Trainor"/>
    <n v="31101211"/>
    <s v="corriente"/>
    <n v="201101.09"/>
    <d v="2023-06-27T00:00:00"/>
    <d v="2016-01-02T00:00:00"/>
    <s v="LEWES"/>
    <s v="Retkovci"/>
    <n v="733"/>
    <s v="Inactivo"/>
    <n v="348.00900000000001"/>
    <n v="578"/>
    <x v="0"/>
  </r>
  <r>
    <n v="894"/>
    <s v="Jarad"/>
    <s v="Harte"/>
    <n v="61211647"/>
    <s v="corriente"/>
    <n v="34163.65"/>
    <d v="2023-12-20T00:00:00"/>
    <d v="2016-07-29T00:00:00"/>
    <s v="TALLAHASSEE"/>
    <s v="Miaoya"/>
    <n v="557"/>
    <s v="Inactivo"/>
    <n v="357.2373"/>
    <n v="96"/>
    <x v="1"/>
  </r>
  <r>
    <n v="895"/>
    <s v="Aristotle"/>
    <s v="Gautrey"/>
    <n v="61112788"/>
    <s v="ahorros"/>
    <n v="83798.66"/>
    <d v="2025-05-15T00:00:00"/>
    <d v="2018-01-09T00:00:00"/>
    <s v="RICHMOND"/>
    <s v="Ţāmiyah"/>
    <n v="45"/>
    <s v="Activo"/>
    <n v="388.93950000000001"/>
    <n v="215"/>
    <x v="0"/>
  </r>
  <r>
    <n v="896"/>
    <s v="Asia"/>
    <s v="Boagey"/>
    <n v="103000619"/>
    <s v="ahorros"/>
    <n v="162531.13"/>
    <d v="2021-11-06T00:00:00"/>
    <d v="2017-09-28T00:00:00"/>
    <s v="KANSAS CITY"/>
    <s v="Gayle"/>
    <n v="1331"/>
    <s v="Inactivo"/>
    <n v="287.53149999999999"/>
    <n v="565"/>
    <x v="0"/>
  </r>
  <r>
    <n v="897"/>
    <s v="Marta"/>
    <s v="Sterte"/>
    <n v="261170494"/>
    <s v="corriente"/>
    <n v="133558.31"/>
    <d v="2024-03-10T00:00:00"/>
    <d v="2018-12-03T00:00:00"/>
    <s v="ZEBULON"/>
    <s v="Natu"/>
    <n v="476"/>
    <s v="Inactivo"/>
    <n v="362.99959999999999"/>
    <n v="368"/>
    <x v="0"/>
  </r>
  <r>
    <n v="898"/>
    <s v="Lorie"/>
    <s v="Frisby"/>
    <n v="72413298"/>
    <s v="corriente"/>
    <n v="180608.75"/>
    <d v="2024-11-05T00:00:00"/>
    <d v="2017-05-22T00:00:00"/>
    <s v="CINCINNATI"/>
    <s v="Riachão do Jacuípe"/>
    <n v="236"/>
    <s v="Activo"/>
    <n v="376.45089999999999"/>
    <n v="480"/>
    <x v="0"/>
  </r>
  <r>
    <n v="899"/>
    <s v="Otha"/>
    <s v="Baldetti"/>
    <n v="74912603"/>
    <s v="ahorros"/>
    <n v="145346.44"/>
    <d v="2024-09-26T00:00:00"/>
    <d v="2017-04-09T00:00:00"/>
    <s v="GREENSBURG"/>
    <s v="Broto"/>
    <n v="276"/>
    <s v="Activo"/>
    <n v="375.84010000000001"/>
    <n v="387"/>
    <x v="0"/>
  </r>
  <r>
    <n v="900"/>
    <s v="Afton"/>
    <s v="Sobczak"/>
    <n v="21207235"/>
    <s v="ahorros"/>
    <n v="57403.64"/>
    <d v="2021-07-15T00:00:00"/>
    <d v="2017-12-03T00:00:00"/>
    <s v="WAYNE"/>
    <s v="Qixian"/>
    <n v="1445"/>
    <s v="Inactivo"/>
    <n v="284.70580000000001"/>
    <n v="202"/>
    <x v="1"/>
  </r>
  <r>
    <n v="901"/>
    <s v="Vidovik"/>
    <s v="Ibbitson"/>
    <n v="21300640"/>
    <s v="corriente"/>
    <n v="16050.76"/>
    <d v="2025-06-20T00:00:00"/>
    <d v="2017-07-02T00:00:00"/>
    <s v="BUFFALO"/>
    <s v="Tumen"/>
    <n v="9"/>
    <s v="Activo"/>
    <n v="391.71499999999997"/>
    <n v="41"/>
    <x v="0"/>
  </r>
  <r>
    <n v="902"/>
    <s v="Row"/>
    <s v="Sawkins"/>
    <n v="271972381"/>
    <s v="corriente"/>
    <n v="19082.52"/>
    <d v="2023-05-06T00:00:00"/>
    <d v="2016-12-16T00:00:00"/>
    <s v="NAPERVILLE"/>
    <s v="Setro"/>
    <n v="785"/>
    <s v="Inactivo"/>
    <n v="343.64490000000001"/>
    <n v="56"/>
    <x v="1"/>
  </r>
  <r>
    <n v="903"/>
    <s v="Carree"/>
    <s v="Winram"/>
    <n v="65306118"/>
    <s v="corriente"/>
    <n v="125630.71"/>
    <d v="2022-10-10T00:00:00"/>
    <d v="2018-07-23T00:00:00"/>
    <s v="BRANDON"/>
    <s v="Charlotte"/>
    <n v="993"/>
    <s v="Inactivo"/>
    <n v="317.30860000000001"/>
    <n v="396"/>
    <x v="0"/>
  </r>
  <r>
    <n v="904"/>
    <s v="Maureene"/>
    <s v="Gunnell"/>
    <n v="111917435"/>
    <s v="corriente"/>
    <n v="57272.54"/>
    <d v="2023-05-25T00:00:00"/>
    <d v="2016-03-22T00:00:00"/>
    <s v="SUGAR LAND"/>
    <s v="Mīrābād"/>
    <n v="766"/>
    <s v="Inactivo"/>
    <n v="345.58850000000001"/>
    <n v="166"/>
    <x v="1"/>
  </r>
  <r>
    <n v="905"/>
    <s v="Gideon"/>
    <s v="Falkus"/>
    <n v="31311674"/>
    <s v="ahorros"/>
    <n v="98160.19"/>
    <d v="2021-11-05T00:00:00"/>
    <d v="2017-04-24T00:00:00"/>
    <s v="INDIANA"/>
    <s v="Kayes"/>
    <n v="1332"/>
    <s v="Inactivo"/>
    <n v="287.49630000000002"/>
    <n v="341"/>
    <x v="0"/>
  </r>
  <r>
    <n v="906"/>
    <s v="Jeddy"/>
    <s v="Esler"/>
    <n v="41215773"/>
    <s v="corriente"/>
    <n v="178214.29"/>
    <d v="2021-09-04T00:00:00"/>
    <d v="2016-06-15T00:00:00"/>
    <s v="MARIETTA"/>
    <s v="Sūrān"/>
    <n v="1394"/>
    <s v="Inactivo"/>
    <n v="285.1506"/>
    <n v="625"/>
    <x v="0"/>
  </r>
  <r>
    <n v="907"/>
    <s v="Rosie"/>
    <s v="Aloway"/>
    <n v="31100089"/>
    <s v="corriente"/>
    <n v="126192.39"/>
    <d v="2023-10-04T00:00:00"/>
    <d v="2016-01-24T00:00:00"/>
    <s v="PITTSBURGH"/>
    <s v="Bačka Topola"/>
    <n v="634"/>
    <s v="Inactivo"/>
    <n v="353.25979999999998"/>
    <n v="357"/>
    <x v="0"/>
  </r>
  <r>
    <n v="908"/>
    <s v="Minetta"/>
    <s v="Harridge"/>
    <n v="43310281"/>
    <s v="corriente"/>
    <n v="164380.66"/>
    <d v="2024-08-19T00:00:00"/>
    <d v="2016-06-05T00:00:00"/>
    <s v="HERMITAGE"/>
    <s v="Alis"/>
    <n v="314"/>
    <s v="Activo"/>
    <n v="375.1866"/>
    <n v="438"/>
    <x v="0"/>
  </r>
  <r>
    <n v="909"/>
    <s v="Mervin"/>
    <s v="Bilyard"/>
    <n v="71122661"/>
    <s v="ahorros"/>
    <n v="106316.35"/>
    <d v="2021-10-30T00:00:00"/>
    <d v="2018-03-22T00:00:00"/>
    <s v="BIRMINGHAM"/>
    <s v="Saint-Ouen"/>
    <n v="1338"/>
    <s v="Inactivo"/>
    <n v="287.28530000000001"/>
    <n v="370"/>
    <x v="0"/>
  </r>
  <r>
    <n v="910"/>
    <s v="Riobard"/>
    <s v="Maywood"/>
    <n v="11301536"/>
    <s v="ahorros"/>
    <n v="101661.78"/>
    <d v="2025-04-14T00:00:00"/>
    <d v="2018-04-13T00:00:00"/>
    <s v="LYNN"/>
    <s v="Trmice"/>
    <n v="76"/>
    <s v="Activo"/>
    <n v="386.786"/>
    <n v="263"/>
    <x v="0"/>
  </r>
  <r>
    <n v="911"/>
    <s v="Bat"/>
    <s v="Tregale"/>
    <n v="86314367"/>
    <s v="corriente"/>
    <n v="165764.56"/>
    <d v="2022-07-03T00:00:00"/>
    <d v="2018-10-08T00:00:00"/>
    <s v="JASPER"/>
    <s v="Daya"/>
    <n v="1092"/>
    <s v="Inactivo"/>
    <n v="309.48739999999998"/>
    <n v="536"/>
    <x v="0"/>
  </r>
  <r>
    <n v="912"/>
    <s v="Desmund"/>
    <s v="Dixon"/>
    <n v="91401919"/>
    <s v="ahorros"/>
    <n v="211160.19"/>
    <d v="2022-11-20T00:00:00"/>
    <d v="2018-10-19T00:00:00"/>
    <s v="ARLINGTON"/>
    <s v="Dzhiginka"/>
    <n v="952"/>
    <s v="Inactivo"/>
    <n v="321.18560000000002"/>
    <n v="657"/>
    <x v="0"/>
  </r>
  <r>
    <n v="913"/>
    <s v="Vic"/>
    <s v="Kovelmann"/>
    <n v="111908143"/>
    <s v="corriente"/>
    <n v="166260.85"/>
    <d v="2023-12-23T00:00:00"/>
    <d v="2016-03-16T00:00:00"/>
    <s v="SUGAR LAND"/>
    <s v="Quxia"/>
    <n v="554"/>
    <s v="Inactivo"/>
    <n v="357.39940000000001"/>
    <n v="465"/>
    <x v="0"/>
  </r>
  <r>
    <n v="914"/>
    <s v="Cordula"/>
    <s v="Abelevitz"/>
    <n v="114025599"/>
    <s v="corriente"/>
    <n v="41864.550000000003"/>
    <d v="2025-05-08T00:00:00"/>
    <d v="2017-08-29T00:00:00"/>
    <s v="SAN ANGELO"/>
    <s v="Malabang"/>
    <n v="52"/>
    <s v="Activo"/>
    <n v="388.46910000000003"/>
    <n v="108"/>
    <x v="0"/>
  </r>
  <r>
    <n v="915"/>
    <s v="Corrinne"/>
    <s v="Jenkyn"/>
    <n v="62205937"/>
    <s v="ahorros"/>
    <n v="48739.07"/>
    <d v="2025-06-05T00:00:00"/>
    <d v="2018-11-21T00:00:00"/>
    <s v="TUPELO"/>
    <s v="Gucheng"/>
    <n v="24"/>
    <s v="Activo"/>
    <n v="390.67660000000001"/>
    <n v="125"/>
    <x v="0"/>
  </r>
  <r>
    <n v="916"/>
    <s v="Alyssa"/>
    <s v="Gowler"/>
    <n v="75905871"/>
    <s v="ahorros"/>
    <n v="155584.06"/>
    <d v="2021-01-01T00:00:00"/>
    <d v="2016-01-04T00:00:00"/>
    <s v="BOSCOBEL"/>
    <s v="Buriti Alegre"/>
    <n v="1640"/>
    <s v="Inactivo"/>
    <n v="275.04930000000002"/>
    <n v="566"/>
    <x v="0"/>
  </r>
  <r>
    <n v="917"/>
    <s v="Bink"/>
    <s v="Pretsell"/>
    <n v="67003778"/>
    <s v="ahorros"/>
    <n v="121649.31"/>
    <d v="2023-09-29T00:00:00"/>
    <d v="2018-10-28T00:00:00"/>
    <s v="CLEWISTON"/>
    <s v="Nizhnyaya Tura"/>
    <n v="639"/>
    <s v="Inactivo"/>
    <n v="352.8494"/>
    <n v="345"/>
    <x v="0"/>
  </r>
  <r>
    <n v="918"/>
    <s v="Morris"/>
    <s v="Goldney"/>
    <n v="91014924"/>
    <s v="corriente"/>
    <n v="42856.23"/>
    <d v="2021-05-05T00:00:00"/>
    <d v="2017-08-31T00:00:00"/>
    <s v="EDINA"/>
    <s v="Sekongkang Bawah"/>
    <n v="1516"/>
    <s v="Inactivo"/>
    <n v="279.75880000000001"/>
    <n v="153"/>
    <x v="1"/>
  </r>
  <r>
    <n v="919"/>
    <s v="Sheff"/>
    <s v="Mowlam"/>
    <n v="124303065"/>
    <s v="corriente"/>
    <n v="179884.43"/>
    <d v="2021-12-06T00:00:00"/>
    <d v="2018-09-14T00:00:00"/>
    <s v="HENRICO"/>
    <s v="Masebewa"/>
    <n v="1301"/>
    <s v="Inactivo"/>
    <n v="287.86840000000001"/>
    <n v="625"/>
    <x v="0"/>
  </r>
  <r>
    <n v="920"/>
    <s v="Carol-jean"/>
    <s v="Dryburgh"/>
    <n v="123206406"/>
    <s v="ahorros"/>
    <n v="19004.2"/>
    <d v="2023-05-02T00:00:00"/>
    <d v="2017-11-10T00:00:00"/>
    <s v="LAKEWOOD"/>
    <s v="Caijiapu"/>
    <n v="789"/>
    <s v="Inactivo"/>
    <n v="343.16660000000002"/>
    <n v="55"/>
    <x v="1"/>
  </r>
  <r>
    <n v="921"/>
    <s v="Christoforo"/>
    <s v="Edge"/>
    <n v="242272874"/>
    <s v="corriente"/>
    <n v="66751.78"/>
    <d v="2024-06-26T00:00:00"/>
    <d v="2018-02-27T00:00:00"/>
    <s v="GREENSBURG"/>
    <s v="Taung"/>
    <n v="368"/>
    <s v="Inactivo"/>
    <n v="372.87869999999998"/>
    <n v="179"/>
    <x v="1"/>
  </r>
  <r>
    <n v="922"/>
    <s v="Adriano"/>
    <s v="Dovidian"/>
    <n v="91409487"/>
    <s v="corriente"/>
    <n v="192243.8"/>
    <d v="2024-05-25T00:00:00"/>
    <d v="2016-04-08T00:00:00"/>
    <s v="OMAHA"/>
    <s v="Uppsala"/>
    <n v="400"/>
    <s v="Inactivo"/>
    <n v="370.81189999999998"/>
    <n v="518"/>
    <x v="0"/>
  </r>
  <r>
    <n v="923"/>
    <s v="Corbin"/>
    <s v="Kassman"/>
    <n v="122241132"/>
    <s v="ahorros"/>
    <n v="172272.04"/>
    <d v="2023-08-10T00:00:00"/>
    <d v="2017-04-23T00:00:00"/>
    <s v="CARLSBAD"/>
    <s v="Wonokromo"/>
    <n v="689"/>
    <s v="Inactivo"/>
    <n v="349.78379999999999"/>
    <n v="493"/>
    <x v="0"/>
  </r>
  <r>
    <n v="924"/>
    <s v="Merna"/>
    <s v="McCree"/>
    <n v="102104749"/>
    <s v="corriente"/>
    <n v="103777.89"/>
    <d v="2025-04-06T00:00:00"/>
    <d v="2017-04-11T00:00:00"/>
    <s v="KANSAS CITY"/>
    <s v="Cicurug"/>
    <n v="84"/>
    <s v="Activo"/>
    <n v="385.65620000000001"/>
    <n v="269"/>
    <x v="0"/>
  </r>
  <r>
    <n v="925"/>
    <s v="Katey"/>
    <s v="Seward"/>
    <n v="83901744"/>
    <s v="corriente"/>
    <n v="111026.32"/>
    <d v="2023-03-18T00:00:00"/>
    <d v="2017-09-25T00:00:00"/>
    <s v="BIRMINGHAM"/>
    <s v="Szczecinek"/>
    <n v="834"/>
    <s v="Inactivo"/>
    <n v="336.10599999999999"/>
    <n v="330"/>
    <x v="0"/>
  </r>
  <r>
    <n v="926"/>
    <s v="Gilberto"/>
    <s v="Abry"/>
    <n v="52100893"/>
    <s v="corriente"/>
    <n v="159939.74"/>
    <d v="2022-11-18T00:00:00"/>
    <d v="2018-08-25T00:00:00"/>
    <s v="PITTSBURGH"/>
    <s v="Xingdian"/>
    <n v="954"/>
    <s v="Inactivo"/>
    <n v="321.03199999999998"/>
    <n v="498"/>
    <x v="0"/>
  </r>
  <r>
    <n v="927"/>
    <s v="Joyce"/>
    <s v="Pettegre"/>
    <n v="211372077"/>
    <s v="ahorros"/>
    <n v="214620"/>
    <d v="2023-11-17T00:00:00"/>
    <d v="2016-05-22T00:00:00"/>
    <s v="NEW BRITAIN"/>
    <s v="San Francisco"/>
    <n v="590"/>
    <s v="Inactivo"/>
    <n v="356.13630000000001"/>
    <n v="603"/>
    <x v="0"/>
  </r>
  <r>
    <n v="928"/>
    <s v="Reyna"/>
    <s v="Hultberg"/>
    <n v="113009464"/>
    <s v="corriente"/>
    <n v="146626.5"/>
    <d v="2024-03-19T00:00:00"/>
    <d v="2018-12-22T00:00:00"/>
    <s v="SUGAR LAND"/>
    <s v="Feicheng"/>
    <n v="467"/>
    <s v="Inactivo"/>
    <n v="364.08210000000003"/>
    <n v="403"/>
    <x v="0"/>
  </r>
  <r>
    <n v="929"/>
    <s v="Karleen"/>
    <s v="Connerry"/>
    <n v="65505870"/>
    <s v="corriente"/>
    <n v="86232.12"/>
    <d v="2021-09-21T00:00:00"/>
    <d v="2018-04-07T00:00:00"/>
    <s v="PICAYUNE"/>
    <s v="Beaumont"/>
    <n v="1377"/>
    <s v="Inactivo"/>
    <n v="285.73050000000001"/>
    <n v="302"/>
    <x v="1"/>
  </r>
  <r>
    <n v="930"/>
    <s v="Dukey"/>
    <s v="Heatlie"/>
    <n v="322284892"/>
    <s v="ahorros"/>
    <n v="56399.32"/>
    <d v="2021-07-12T00:00:00"/>
    <d v="2017-05-19T00:00:00"/>
    <s v="ST PAUL"/>
    <s v="Panolan"/>
    <n v="1448"/>
    <s v="Inactivo"/>
    <n v="284.42259999999999"/>
    <n v="198"/>
    <x v="1"/>
  </r>
  <r>
    <n v="931"/>
    <s v="Scarlett"/>
    <s v="Digweed"/>
    <n v="91001157"/>
    <s v="ahorros"/>
    <n v="82224.61"/>
    <d v="2020-10-06T00:00:00"/>
    <d v="2017-03-26T00:00:00"/>
    <s v="NAPERVILLE"/>
    <s v="Cikubang"/>
    <n v="1727"/>
    <s v="Inactivo"/>
    <n v="274.57080000000002"/>
    <n v="299"/>
    <x v="1"/>
  </r>
  <r>
    <n v="932"/>
    <s v="Leda"/>
    <s v="McVane"/>
    <n v="122237654"/>
    <s v="ahorros"/>
    <n v="13141.3"/>
    <d v="2023-04-28T00:00:00"/>
    <d v="2016-08-17T00:00:00"/>
    <s v="ONTARIO"/>
    <s v="Sishan"/>
    <n v="793"/>
    <s v="Inactivo"/>
    <n v="342.68900000000002"/>
    <n v="38"/>
    <x v="1"/>
  </r>
  <r>
    <n v="933"/>
    <s v="Damiano"/>
    <s v="Geraudy"/>
    <n v="22072692"/>
    <s v="ahorros"/>
    <n v="136710.51999999999"/>
    <d v="2020-04-16T00:00:00"/>
    <d v="2017-09-03T00:00:00"/>
    <s v="ALBANY"/>
    <s v="Libon"/>
    <n v="1900"/>
    <s v="Inactivo"/>
    <n v="274.56790000000001"/>
    <n v="498"/>
    <x v="0"/>
  </r>
  <r>
    <n v="934"/>
    <s v="Rozina"/>
    <s v="Kidsley"/>
    <n v="72401064"/>
    <s v="ahorros"/>
    <n v="163876.82999999999"/>
    <d v="2021-02-17T00:00:00"/>
    <d v="2017-11-07T00:00:00"/>
    <s v="DETROIT"/>
    <s v="Soanindrariny"/>
    <n v="1593"/>
    <s v="Inactivo"/>
    <n v="275.988"/>
    <n v="594"/>
    <x v="0"/>
  </r>
  <r>
    <n v="935"/>
    <s v="Keith"/>
    <s v="Casaroli"/>
    <n v="21207413"/>
    <s v="corriente"/>
    <n v="105059.51"/>
    <d v="2023-02-23T00:00:00"/>
    <d v="2016-12-26T00:00:00"/>
    <s v="LEWISTON"/>
    <s v="Weihe"/>
    <n v="857"/>
    <s v="Inactivo"/>
    <n v="331.36840000000001"/>
    <n v="317"/>
    <x v="1"/>
  </r>
  <r>
    <n v="936"/>
    <s v="Arvie"/>
    <s v="Chant"/>
    <n v="61119464"/>
    <s v="corriente"/>
    <n v="72215.28"/>
    <d v="2025-06-16T00:00:00"/>
    <d v="2018-07-25T00:00:00"/>
    <s v="BLAIRSVILLE"/>
    <s v="Cabra Figa"/>
    <n v="13"/>
    <s v="Activo"/>
    <n v="391.54820000000001"/>
    <n v="184"/>
    <x v="0"/>
  </r>
  <r>
    <n v="937"/>
    <s v="Florence"/>
    <s v="Rolph"/>
    <n v="101014953"/>
    <s v="ahorros"/>
    <n v="74297.759999999995"/>
    <d v="2023-05-13T00:00:00"/>
    <d v="2017-09-10T00:00:00"/>
    <s v="OVERLAND PARK"/>
    <s v="Sibanicú"/>
    <n v="778"/>
    <s v="Inactivo"/>
    <n v="344.48340000000002"/>
    <n v="216"/>
    <x v="1"/>
  </r>
  <r>
    <n v="938"/>
    <s v="Caren"/>
    <s v="Formby"/>
    <n v="11601443"/>
    <s v="ahorros"/>
    <n v="163387.37"/>
    <d v="2023-01-10T00:00:00"/>
    <d v="2018-07-09T00:00:00"/>
    <s v="RIVERSIDE"/>
    <s v="Tysmenytsya"/>
    <n v="901"/>
    <s v="Inactivo"/>
    <n v="325.197"/>
    <n v="502"/>
    <x v="0"/>
  </r>
  <r>
    <n v="939"/>
    <s v="Symon"/>
    <s v="Gotter"/>
    <n v="42205038"/>
    <s v="corriente"/>
    <n v="135000.85999999999"/>
    <d v="2023-04-10T00:00:00"/>
    <d v="2016-06-15T00:00:00"/>
    <s v="ST. PAUL"/>
    <s v="Tall Ḩamīs"/>
    <n v="811"/>
    <s v="Inactivo"/>
    <n v="340.23669999999998"/>
    <n v="397"/>
    <x v="0"/>
  </r>
  <r>
    <n v="940"/>
    <s v="Danyette"/>
    <s v="Waberer"/>
    <n v="125108939"/>
    <s v="corriente"/>
    <n v="34160.639999999999"/>
    <d v="2021-09-27T00:00:00"/>
    <d v="2017-04-29T00:00:00"/>
    <s v="SPOKANE"/>
    <s v="Lincheng"/>
    <n v="1371"/>
    <s v="Inactivo"/>
    <n v="285.98719999999997"/>
    <n v="119"/>
    <x v="1"/>
  </r>
  <r>
    <n v="941"/>
    <s v="Roberta"/>
    <s v="Gritsaev"/>
    <n v="231375520"/>
    <s v="corriente"/>
    <n v="19980.919999999998"/>
    <d v="2022-03-20T00:00:00"/>
    <d v="2017-11-21T00:00:00"/>
    <s v="AMHERST"/>
    <s v="Velké Němčice"/>
    <n v="1197"/>
    <s v="Inactivo"/>
    <n v="297.06909999999999"/>
    <n v="67"/>
    <x v="1"/>
  </r>
  <r>
    <n v="942"/>
    <s v="Rorie"/>
    <s v="Armand"/>
    <n v="74903308"/>
    <s v="ahorros"/>
    <n v="125126.9"/>
    <d v="2021-07-19T00:00:00"/>
    <d v="2016-03-04T00:00:00"/>
    <s v="GREENSBURG"/>
    <s v="Des Moines"/>
    <n v="1441"/>
    <s v="Inactivo"/>
    <n v="284.68740000000003"/>
    <n v="440"/>
    <x v="0"/>
  </r>
  <r>
    <n v="943"/>
    <s v="Jonathan"/>
    <s v="Gonsalvo"/>
    <n v="251473787"/>
    <s v="ahorros"/>
    <n v="126162.45"/>
    <d v="2025-03-22T00:00:00"/>
    <d v="2016-12-15T00:00:00"/>
    <s v="RUTHER GLEN"/>
    <s v="Santa Elena de Uairén"/>
    <n v="99"/>
    <s v="Activo"/>
    <n v="383.54669999999999"/>
    <n v="329"/>
    <x v="0"/>
  </r>
  <r>
    <n v="944"/>
    <s v="Corty"/>
    <s v="Tomik"/>
    <n v="72413751"/>
    <s v="ahorros"/>
    <n v="124098.79"/>
    <d v="2024-12-15T00:00:00"/>
    <d v="2018-02-08T00:00:00"/>
    <s v="MIDLAND"/>
    <s v="Katrineholm"/>
    <n v="196"/>
    <s v="Activo"/>
    <n v="376.25229999999999"/>
    <n v="330"/>
    <x v="0"/>
  </r>
  <r>
    <n v="945"/>
    <s v="Salvidor"/>
    <s v="Tokell"/>
    <n v="91901561"/>
    <s v="ahorros"/>
    <n v="214728.41"/>
    <d v="2025-02-21T00:00:00"/>
    <d v="2018-09-03T00:00:00"/>
    <s v="WASECA"/>
    <s v="Paiisa"/>
    <n v="128"/>
    <s v="Activo"/>
    <n v="379.76420000000002"/>
    <n v="565"/>
    <x v="0"/>
  </r>
  <r>
    <n v="946"/>
    <s v="Granger"/>
    <s v="Skingle"/>
    <n v="61103548"/>
    <s v="corriente"/>
    <n v="21239.68"/>
    <d v="2023-04-24T00:00:00"/>
    <d v="2016-02-24T00:00:00"/>
    <s v="MACON"/>
    <s v="Tirapata"/>
    <n v="797"/>
    <s v="Inactivo"/>
    <n v="342.21210000000002"/>
    <n v="62"/>
    <x v="1"/>
  </r>
  <r>
    <n v="947"/>
    <s v="Gerti"/>
    <s v="Chue"/>
    <n v="84008853"/>
    <s v="ahorros"/>
    <n v="162598.54999999999"/>
    <d v="2022-08-30T00:00:00"/>
    <d v="2017-07-05T00:00:00"/>
    <s v="LAFAYETTE"/>
    <s v="Umuahia"/>
    <n v="1034"/>
    <s v="Inactivo"/>
    <n v="313.32909999999998"/>
    <n v="519"/>
    <x v="0"/>
  </r>
  <r>
    <n v="948"/>
    <s v="Kalila"/>
    <s v="Honeyghan"/>
    <n v="75910523"/>
    <s v="corriente"/>
    <n v="158622.14000000001"/>
    <d v="2021-07-03T00:00:00"/>
    <d v="2018-01-19T00:00:00"/>
    <s v="NAPERVILLE"/>
    <s v="Xuxiake"/>
    <n v="1457"/>
    <s v="Inactivo"/>
    <n v="283.57490000000001"/>
    <n v="559"/>
    <x v="0"/>
  </r>
  <r>
    <n v="949"/>
    <s v="Dolf"/>
    <s v="Ivanin"/>
    <n v="71103473"/>
    <s v="corriente"/>
    <n v="84835.24"/>
    <d v="2024-05-17T00:00:00"/>
    <d v="2018-12-07T00:00:00"/>
    <s v="TERRE HAUTE"/>
    <s v="Lesnoy"/>
    <n v="408"/>
    <s v="Inactivo"/>
    <n v="370.24939999999998"/>
    <n v="229"/>
    <x v="1"/>
  </r>
  <r>
    <n v="950"/>
    <s v="Fanni"/>
    <s v="Noor"/>
    <n v="81519002"/>
    <s v="corriente"/>
    <n v="197617.05"/>
    <d v="2023-09-21T00:00:00"/>
    <d v="2018-11-02T00:00:00"/>
    <s v="MONETT"/>
    <s v="Castellon De La Plana/Castello De La Pla"/>
    <n v="647"/>
    <s v="Inactivo"/>
    <n v="352.1936"/>
    <n v="561"/>
    <x v="0"/>
  </r>
  <r>
    <n v="951"/>
    <s v="Leticia"/>
    <s v="Hakewell"/>
    <n v="101219059"/>
    <s v="ahorros"/>
    <n v="110873.24"/>
    <d v="2025-02-12T00:00:00"/>
    <d v="2017-01-01T00:00:00"/>
    <s v="KANSAS CITY"/>
    <s v="Chuhuyiv"/>
    <n v="137"/>
    <s v="Activo"/>
    <n v="378.83530000000002"/>
    <n v="293"/>
    <x v="0"/>
  </r>
  <r>
    <n v="952"/>
    <s v="Braden"/>
    <s v="Bromby"/>
    <n v="31901482"/>
    <s v="ahorros"/>
    <n v="24809.49"/>
    <d v="2024-03-19T00:00:00"/>
    <d v="2016-08-05T00:00:00"/>
    <s v="LEWISTON"/>
    <s v="Ḩadīdah"/>
    <n v="467"/>
    <s v="Inactivo"/>
    <n v="364.08210000000003"/>
    <n v="68"/>
    <x v="1"/>
  </r>
  <r>
    <n v="953"/>
    <s v="Lorant"/>
    <s v="Bole"/>
    <n v="241070417"/>
    <s v="ahorros"/>
    <n v="193107.9"/>
    <d v="2024-09-23T00:00:00"/>
    <d v="2016-02-12T00:00:00"/>
    <s v="RIVERSIDE"/>
    <s v="Zilang"/>
    <n v="279"/>
    <s v="Activo"/>
    <n v="375.84010000000001"/>
    <n v="514"/>
    <x v="0"/>
  </r>
  <r>
    <n v="954"/>
    <s v="Rochette"/>
    <s v="Giller"/>
    <n v="64101589"/>
    <s v="corriente"/>
    <n v="167106.5"/>
    <d v="2025-03-04T00:00:00"/>
    <d v="2017-02-24T00:00:00"/>
    <s v="MCMINNVILLE"/>
    <s v="Metahāra"/>
    <n v="117"/>
    <s v="Activo"/>
    <n v="381.16269999999997"/>
    <n v="438"/>
    <x v="0"/>
  </r>
  <r>
    <n v="955"/>
    <s v="Fancy"/>
    <s v="Crowter"/>
    <n v="53112686"/>
    <s v="ahorros"/>
    <n v="39072.31"/>
    <d v="2023-11-08T00:00:00"/>
    <d v="2017-12-21T00:00:00"/>
    <s v="HERMITAGE"/>
    <s v="Formiga"/>
    <n v="599"/>
    <s v="Inactivo"/>
    <n v="355.64420000000001"/>
    <n v="110"/>
    <x v="1"/>
  </r>
  <r>
    <n v="956"/>
    <s v="Olva"/>
    <s v="Pimblott"/>
    <n v="104902392"/>
    <s v="corriente"/>
    <n v="120907.2"/>
    <d v="2020-11-07T00:00:00"/>
    <d v="2016-07-30T00:00:00"/>
    <s v="WISNER"/>
    <s v="Boston"/>
    <n v="1695"/>
    <s v="Inactivo"/>
    <n v="275.21409999999997"/>
    <n v="439"/>
    <x v="0"/>
  </r>
  <r>
    <n v="957"/>
    <s v="Hally"/>
    <s v="MacCroary"/>
    <n v="121032232"/>
    <s v="corriente"/>
    <n v="34937.550000000003"/>
    <d v="2023-07-22T00:00:00"/>
    <d v="2016-01-10T00:00:00"/>
    <s v="EL MONTE"/>
    <s v="Wukeshu"/>
    <n v="708"/>
    <s v="Inactivo"/>
    <n v="349.1422"/>
    <n v="100"/>
    <x v="1"/>
  </r>
  <r>
    <n v="958"/>
    <s v="Bree"/>
    <s v="Laffranconi"/>
    <n v="111924363"/>
    <s v="ahorros"/>
    <n v="149128.59"/>
    <d v="2025-02-19T00:00:00"/>
    <d v="2016-05-08T00:00:00"/>
    <s v="KINGFISHER"/>
    <s v="Néa Palátia"/>
    <n v="130"/>
    <s v="Activo"/>
    <n v="379.51049999999998"/>
    <n v="393"/>
    <x v="0"/>
  </r>
  <r>
    <n v="959"/>
    <s v="Anestassia"/>
    <s v="Boulds"/>
    <n v="51402589"/>
    <s v="ahorros"/>
    <n v="211299.97"/>
    <d v="2023-01-07T00:00:00"/>
    <d v="2017-01-19T00:00:00"/>
    <s v="STRASBURG"/>
    <s v="Lapas"/>
    <n v="904"/>
    <s v="Inactivo"/>
    <n v="324.95569999999998"/>
    <n v="650"/>
    <x v="0"/>
  </r>
  <r>
    <n v="960"/>
    <s v="Chad"/>
    <s v="Kyttor"/>
    <n v="84008853"/>
    <s v="corriente"/>
    <n v="91841.08"/>
    <d v="2025-02-04T00:00:00"/>
    <d v="2018-02-09T00:00:00"/>
    <s v="LAFAYETTE"/>
    <s v="Jungkat Selatan"/>
    <n v="145"/>
    <s v="Activo"/>
    <n v="378.38690000000003"/>
    <n v="243"/>
    <x v="0"/>
  </r>
  <r>
    <n v="961"/>
    <s v="Antonius"/>
    <s v="Olczak"/>
    <n v="43400036"/>
    <s v="corriente"/>
    <n v="91885.84"/>
    <d v="2023-08-29T00:00:00"/>
    <d v="2017-08-10T00:00:00"/>
    <s v="WHEELING"/>
    <s v="Strellc i Epërm"/>
    <n v="670"/>
    <s v="Inactivo"/>
    <n v="350.74189999999999"/>
    <n v="262"/>
    <x v="1"/>
  </r>
  <r>
    <n v="962"/>
    <s v="Wilone"/>
    <s v="Elecum"/>
    <n v="103101372"/>
    <s v="ahorros"/>
    <n v="164036.64000000001"/>
    <d v="2025-04-13T00:00:00"/>
    <d v="2016-10-05T00:00:00"/>
    <s v="CHOUTEAU"/>
    <s v="Tigaon"/>
    <n v="77"/>
    <s v="Activo"/>
    <n v="386.64460000000003"/>
    <n v="424"/>
    <x v="0"/>
  </r>
  <r>
    <n v="963"/>
    <s v="Kailey"/>
    <s v="Fiddeman"/>
    <n v="111322457"/>
    <s v="corriente"/>
    <n v="177179.53"/>
    <d v="2023-06-30T00:00:00"/>
    <d v="2016-04-16T00:00:00"/>
    <s v="HEREFORD"/>
    <s v="Nerk’in Getashen"/>
    <n v="730"/>
    <s v="Inactivo"/>
    <n v="348.1583"/>
    <n v="509"/>
    <x v="0"/>
  </r>
  <r>
    <n v="964"/>
    <s v="Clareta"/>
    <s v="Pozzi"/>
    <n v="122240340"/>
    <s v="corriente"/>
    <n v="62950.38"/>
    <d v="2021-10-13T00:00:00"/>
    <d v="2017-03-09T00:00:00"/>
    <s v="CARLSBAD"/>
    <s v="Toulon"/>
    <n v="1355"/>
    <s v="Inactivo"/>
    <n v="286.6728"/>
    <n v="220"/>
    <x v="1"/>
  </r>
  <r>
    <n v="965"/>
    <s v="Janene"/>
    <s v="Martel"/>
    <n v="242070791"/>
    <s v="ahorros"/>
    <n v="203341.31"/>
    <d v="2020-01-20T00:00:00"/>
    <d v="2017-08-28T00:00:00"/>
    <s v="CINCINNATI"/>
    <s v="Okulovka"/>
    <n v="1987"/>
    <s v="Inactivo"/>
    <n v="270.95769999999999"/>
    <n v="750"/>
    <x v="0"/>
  </r>
  <r>
    <n v="966"/>
    <s v="Janel"/>
    <s v="Lavarack"/>
    <n v="101019521"/>
    <s v="corriente"/>
    <n v="130414.16"/>
    <d v="2022-06-09T00:00:00"/>
    <d v="2017-04-04T00:00:00"/>
    <s v="KANSAS CITY"/>
    <s v="Aguazul"/>
    <n v="1116"/>
    <s v="Inactivo"/>
    <n v="307.19850000000002"/>
    <n v="425"/>
    <x v="0"/>
  </r>
  <r>
    <n v="967"/>
    <s v="Ruthie"/>
    <s v="Gleder"/>
    <n v="262287218"/>
    <s v="corriente"/>
    <n v="25018.47"/>
    <d v="2020-01-26T00:00:00"/>
    <d v="2016-01-12T00:00:00"/>
    <s v="CULLMAN"/>
    <s v="Jingang"/>
    <n v="1981"/>
    <s v="Inactivo"/>
    <n v="271.09390000000002"/>
    <n v="92"/>
    <x v="1"/>
  </r>
  <r>
    <n v="968"/>
    <s v="Berkeley"/>
    <s v="Blackston"/>
    <n v="103110428"/>
    <s v="corriente"/>
    <n v="213098.25"/>
    <d v="2024-12-30T00:00:00"/>
    <d v="2017-12-29T00:00:00"/>
    <s v="OKEENE"/>
    <s v="Dongluqiao"/>
    <n v="181"/>
    <s v="Activo"/>
    <n v="376.74349999999998"/>
    <n v="566"/>
    <x v="0"/>
  </r>
  <r>
    <n v="969"/>
    <s v="Markus"/>
    <s v="Sings"/>
    <n v="65303069"/>
    <s v="ahorros"/>
    <n v="40851.129999999997"/>
    <d v="2021-12-10T00:00:00"/>
    <d v="2017-05-14T00:00:00"/>
    <s v="BELZONI"/>
    <s v="Göteborg"/>
    <n v="1297"/>
    <s v="Inactivo"/>
    <n v="287.8723"/>
    <n v="142"/>
    <x v="1"/>
  </r>
  <r>
    <n v="970"/>
    <s v="Gui"/>
    <s v="Beeson"/>
    <n v="111025084"/>
    <s v="ahorros"/>
    <n v="34838.53"/>
    <d v="2025-05-26T00:00:00"/>
    <d v="2016-07-25T00:00:00"/>
    <s v="LOS ANGELES"/>
    <s v="Qaryūt"/>
    <n v="34"/>
    <s v="Activo"/>
    <n v="389.84840000000003"/>
    <n v="89"/>
    <x v="0"/>
  </r>
  <r>
    <n v="971"/>
    <s v="Vergil"/>
    <s v="Readhead"/>
    <n v="72414255"/>
    <s v="ahorros"/>
    <n v="45706.65"/>
    <d v="2024-10-29T00:00:00"/>
    <d v="2016-12-17T00:00:00"/>
    <s v="MIDLAND"/>
    <s v="Cinyawar"/>
    <n v="243"/>
    <s v="Activo"/>
    <n v="376.24720000000002"/>
    <n v="121"/>
    <x v="0"/>
  </r>
  <r>
    <n v="972"/>
    <s v="Ania"/>
    <s v="Hegg"/>
    <n v="101100265"/>
    <s v="ahorros"/>
    <n v="149843.12"/>
    <d v="2022-01-23T00:00:00"/>
    <d v="2017-08-08T00:00:00"/>
    <s v="NAPERVILLE"/>
    <s v="Bremerhaven"/>
    <n v="1253"/>
    <s v="Inactivo"/>
    <n v="289.86009999999999"/>
    <n v="517"/>
    <x v="0"/>
  </r>
  <r>
    <n v="973"/>
    <s v="Terza"/>
    <s v="Burchess"/>
    <n v="243373222"/>
    <s v="corriente"/>
    <n v="75369.490000000005"/>
    <d v="2020-03-13T00:00:00"/>
    <d v="2016-02-11T00:00:00"/>
    <s v="WHEELING"/>
    <s v="Libiąż"/>
    <n v="1934"/>
    <s v="Inactivo"/>
    <n v="272.61009999999999"/>
    <n v="276"/>
    <x v="1"/>
  </r>
  <r>
    <n v="974"/>
    <s v="Gawen"/>
    <s v="Skirrow"/>
    <n v="31901482"/>
    <s v="ahorros"/>
    <n v="211901.52"/>
    <d v="2022-07-28T00:00:00"/>
    <d v="2017-10-29T00:00:00"/>
    <s v="LEWISTON"/>
    <s v="Wengtian"/>
    <n v="1067"/>
    <s v="Inactivo"/>
    <n v="311.18779999999998"/>
    <n v="681"/>
    <x v="0"/>
  </r>
  <r>
    <n v="975"/>
    <s v="Weber"/>
    <s v="Beadnall"/>
    <n v="61204612"/>
    <s v="ahorros"/>
    <n v="72717.61"/>
    <d v="2024-07-05T00:00:00"/>
    <d v="2016-03-03T00:00:00"/>
    <s v="MOULTRIE"/>
    <s v="Niebylec"/>
    <n v="359"/>
    <s v="Activo"/>
    <n v="373.35899999999998"/>
    <n v="195"/>
    <x v="0"/>
  </r>
  <r>
    <n v="976"/>
    <s v="Marcela"/>
    <s v="Corrett"/>
    <n v="82901855"/>
    <s v="corriente"/>
    <n v="57239.35"/>
    <d v="2024-09-24T00:00:00"/>
    <d v="2018-02-22T00:00:00"/>
    <s v="PINE BLUFF"/>
    <s v="Lirang"/>
    <n v="278"/>
    <s v="Activo"/>
    <n v="375.84010000000001"/>
    <n v="152"/>
    <x v="0"/>
  </r>
  <r>
    <n v="977"/>
    <s v="Vinita"/>
    <s v="Beardsdale"/>
    <n v="121132682"/>
    <s v="corriente"/>
    <n v="171884.12"/>
    <d v="2020-03-10T00:00:00"/>
    <d v="2016-04-09T00:00:00"/>
    <s v="EL MONTE"/>
    <s v="Neob"/>
    <n v="1937"/>
    <s v="Inactivo"/>
    <n v="272.49189999999999"/>
    <n v="631"/>
    <x v="0"/>
  </r>
  <r>
    <n v="978"/>
    <s v="Kym"/>
    <s v="Rickaert"/>
    <n v="42103460"/>
    <s v="ahorros"/>
    <n v="107733.49"/>
    <d v="2023-05-15T00:00:00"/>
    <d v="2017-03-19T00:00:00"/>
    <s v="GRAYSON"/>
    <s v="Alcaldedíaz"/>
    <n v="776"/>
    <s v="Inactivo"/>
    <n v="344.72340000000003"/>
    <n v="313"/>
    <x v="1"/>
  </r>
  <r>
    <n v="979"/>
    <s v="Tuckie"/>
    <s v="Staniland"/>
    <n v="57000697"/>
    <s v="corriente"/>
    <n v="185564.63"/>
    <d v="2021-04-26T00:00:00"/>
    <d v="2016-04-25T00:00:00"/>
    <s v="COLUMBUS"/>
    <s v="Growong Lor"/>
    <n v="1525"/>
    <s v="Inactivo"/>
    <n v="279.33210000000003"/>
    <n v="664"/>
    <x v="0"/>
  </r>
  <r>
    <n v="980"/>
    <s v="Berke"/>
    <s v="McKinnon"/>
    <n v="107001067"/>
    <s v="ahorros"/>
    <n v="158505.28"/>
    <d v="2021-07-17T00:00:00"/>
    <d v="2016-03-16T00:00:00"/>
    <s v="KANSAS CITY"/>
    <s v="Truskavets"/>
    <n v="1443"/>
    <s v="Inactivo"/>
    <n v="284.69659999999999"/>
    <n v="557"/>
    <x v="0"/>
  </r>
  <r>
    <n v="981"/>
    <s v="Chryste"/>
    <s v="Prawle"/>
    <n v="63104972"/>
    <s v="ahorros"/>
    <n v="124600.46"/>
    <d v="2021-08-24T00:00:00"/>
    <d v="2018-04-05T00:00:00"/>
    <s v="RICHMOND"/>
    <s v="Allen"/>
    <n v="1405"/>
    <s v="Inactivo"/>
    <n v="284.82749999999999"/>
    <n v="437"/>
    <x v="0"/>
  </r>
  <r>
    <n v="982"/>
    <s v="Marven"/>
    <s v="MacNess"/>
    <n v="61119901"/>
    <s v="corriente"/>
    <n v="164915.66"/>
    <d v="2020-08-06T00:00:00"/>
    <d v="2016-07-16T00:00:00"/>
    <s v="BLAIRSVILLE"/>
    <s v="Mauren"/>
    <n v="1788"/>
    <s v="Inactivo"/>
    <n v="274.89370000000002"/>
    <n v="600"/>
    <x v="0"/>
  </r>
  <r>
    <n v="983"/>
    <s v="Dore"/>
    <s v="Broadnicke"/>
    <n v="102101548"/>
    <s v="corriente"/>
    <n v="75178.8"/>
    <d v="2022-12-30T00:00:00"/>
    <d v="2018-05-03T00:00:00"/>
    <s v="HELENA"/>
    <s v="Chengtou"/>
    <n v="912"/>
    <s v="Inactivo"/>
    <n v="324.31310000000002"/>
    <n v="232"/>
    <x v="1"/>
  </r>
  <r>
    <n v="984"/>
    <s v="Paulita"/>
    <s v="Mostyn"/>
    <n v="81503102"/>
    <s v="ahorros"/>
    <n v="152279.1"/>
    <d v="2023-10-29T00:00:00"/>
    <d v="2018-05-19T00:00:00"/>
    <s v="JEFFERSON CITY"/>
    <s v="Tanlin"/>
    <n v="609"/>
    <s v="Inactivo"/>
    <n v="355.02690000000001"/>
    <n v="429"/>
    <x v="0"/>
  </r>
  <r>
    <n v="985"/>
    <s v="Elwira"/>
    <s v="Inglese"/>
    <n v="75906702"/>
    <s v="corriente"/>
    <n v="28915.96"/>
    <d v="2024-05-24T00:00:00"/>
    <d v="2016-05-09T00:00:00"/>
    <s v="ROSHOLT"/>
    <s v="Proletarsk"/>
    <n v="401"/>
    <s v="Inactivo"/>
    <n v="370.74149999999997"/>
    <n v="78"/>
    <x v="1"/>
  </r>
  <r>
    <n v="986"/>
    <s v="Colly"/>
    <s v="Abrahamian"/>
    <n v="231372439"/>
    <s v="corriente"/>
    <n v="162849.26999999999"/>
    <d v="2021-04-10T00:00:00"/>
    <d v="2016-04-03T00:00:00"/>
    <s v="WILSON"/>
    <s v="Leteki"/>
    <n v="1541"/>
    <s v="Inactivo"/>
    <n v="278.5249"/>
    <n v="585"/>
    <x v="0"/>
  </r>
  <r>
    <n v="987"/>
    <s v="Rosaleen"/>
    <s v="Brade"/>
    <n v="322270262"/>
    <s v="ahorros"/>
    <n v="149377.72"/>
    <d v="2023-04-29T00:00:00"/>
    <d v="2017-02-21T00:00:00"/>
    <s v="ENGLEWOOD CLIFFS"/>
    <s v="Perm"/>
    <n v="792"/>
    <s v="Inactivo"/>
    <n v="342.80829999999997"/>
    <n v="436"/>
    <x v="0"/>
  </r>
  <r>
    <n v="988"/>
    <s v="Shelbi"/>
    <s v="Paske"/>
    <n v="111300945"/>
    <s v="corriente"/>
    <n v="177912.62"/>
    <d v="2020-09-20T00:00:00"/>
    <d v="2017-12-02T00:00:00"/>
    <s v="HENRICO"/>
    <s v="Sarandi"/>
    <n v="1743"/>
    <s v="Inactivo"/>
    <n v="274.58539999999999"/>
    <n v="648"/>
    <x v="0"/>
  </r>
  <r>
    <n v="989"/>
    <s v="Barrie"/>
    <s v="Kondrachenko"/>
    <n v="43318814"/>
    <s v="ahorros"/>
    <n v="70170.95"/>
    <d v="2024-08-22T00:00:00"/>
    <d v="2017-08-25T00:00:00"/>
    <s v="INDIANA"/>
    <s v="Bridel"/>
    <n v="311"/>
    <s v="Activo"/>
    <n v="375.25920000000002"/>
    <n v="187"/>
    <x v="0"/>
  </r>
  <r>
    <n v="990"/>
    <s v="Drona"/>
    <s v="Grono"/>
    <n v="84107893"/>
    <s v="ahorros"/>
    <n v="17097.48"/>
    <d v="2020-04-06T00:00:00"/>
    <d v="2017-11-29T00:00:00"/>
    <s v="LAFAYETTE"/>
    <s v="Plaridel"/>
    <n v="1910"/>
    <s v="Inactivo"/>
    <n v="273.98419999999999"/>
    <n v="62"/>
    <x v="1"/>
  </r>
  <r>
    <n v="991"/>
    <s v="Kristan"/>
    <s v="Shaxby"/>
    <n v="11110688"/>
    <s v="corriente"/>
    <n v="107848.92"/>
    <d v="2020-08-03T00:00:00"/>
    <d v="2016-01-12T00:00:00"/>
    <s v="MIDDLETOWN"/>
    <s v="Ibiá"/>
    <n v="1791"/>
    <s v="Inactivo"/>
    <n v="274.995"/>
    <n v="392"/>
    <x v="0"/>
  </r>
  <r>
    <n v="992"/>
    <s v="Phyllis"/>
    <s v="O' Hogan"/>
    <n v="323270216"/>
    <s v="corriente"/>
    <n v="115405.33"/>
    <d v="2024-02-20T00:00:00"/>
    <d v="2016-04-06T00:00:00"/>
    <s v="PORTLAND"/>
    <s v="Karangpeton"/>
    <n v="495"/>
    <s v="Inactivo"/>
    <n v="360.82810000000001"/>
    <n v="320"/>
    <x v="1"/>
  </r>
  <r>
    <n v="993"/>
    <s v="Bettine"/>
    <s v="Gaitone"/>
    <n v="111912401"/>
    <s v="ahorros"/>
    <n v="104833.55"/>
    <d v="2020-01-07T00:00:00"/>
    <d v="2017-02-12T00:00:00"/>
    <s v="SEYMOUR"/>
    <s v="Changtian"/>
    <n v="2000"/>
    <s v="Inactivo"/>
    <n v="270.77429999999998"/>
    <n v="387"/>
    <x v="0"/>
  </r>
  <r>
    <n v="994"/>
    <s v="Lauree"/>
    <s v="Pearn"/>
    <n v="325170699"/>
    <s v="corriente"/>
    <n v="174878.86"/>
    <d v="2021-06-17T00:00:00"/>
    <d v="2018-11-24T00:00:00"/>
    <s v="ALBANY"/>
    <s v="Ishigaki"/>
    <n v="1473"/>
    <s v="Inactivo"/>
    <n v="282.07400000000001"/>
    <n v="620"/>
    <x v="0"/>
  </r>
  <r>
    <n v="995"/>
    <s v="Shela"/>
    <s v="Cotterel"/>
    <n v="92902404"/>
    <s v="corriente"/>
    <n v="33795.230000000003"/>
    <d v="2024-05-26T00:00:00"/>
    <d v="2018-05-19T00:00:00"/>
    <s v="KALISPELL"/>
    <s v="Tyresö"/>
    <n v="399"/>
    <s v="Inactivo"/>
    <n v="370.88229999999999"/>
    <n v="91"/>
    <x v="1"/>
  </r>
  <r>
    <n v="996"/>
    <s v="Lillis"/>
    <s v="Garthside"/>
    <n v="102000021"/>
    <s v="corriente"/>
    <n v="202606.1"/>
    <d v="2023-09-07T00:00:00"/>
    <d v="2016-10-26T00:00:00"/>
    <s v="ST. PAUL"/>
    <s v="Progreso"/>
    <n v="661"/>
    <s v="Inactivo"/>
    <n v="351.25020000000001"/>
    <n v="577"/>
    <x v="0"/>
  </r>
  <r>
    <n v="997"/>
    <s v="Inge"/>
    <s v="Rickardes"/>
    <n v="41205673"/>
    <s v="corriente"/>
    <n v="15653.79"/>
    <d v="2021-08-10T00:00:00"/>
    <d v="2016-09-23T00:00:00"/>
    <s v="COLUMBUS"/>
    <s v="Podkumskiy"/>
    <n v="1419"/>
    <s v="Inactivo"/>
    <n v="284.58640000000003"/>
    <n v="55"/>
    <x v="1"/>
  </r>
  <r>
    <n v="998"/>
    <s v="Abey"/>
    <s v="Agirre"/>
    <n v="75910798"/>
    <s v="ahorros"/>
    <n v="102516.3"/>
    <d v="2022-03-02T00:00:00"/>
    <d v="2018-10-02T00:00:00"/>
    <s v="NAPERVILLE"/>
    <s v="Barili"/>
    <n v="1215"/>
    <s v="Inactivo"/>
    <n v="294.02569999999997"/>
    <n v="349"/>
    <x v="0"/>
  </r>
  <r>
    <n v="999"/>
    <s v="Ferdy"/>
    <s v="Dobinson"/>
    <n v="62205199"/>
    <s v="corriente"/>
    <n v="21921.119999999999"/>
    <d v="2020-07-24T00:00:00"/>
    <d v="2018-06-07T00:00:00"/>
    <s v="BIRMINGHAM"/>
    <s v="Passagem"/>
    <n v="1801"/>
    <s v="Inactivo"/>
    <n v="275.3329"/>
    <n v="80"/>
    <x v="1"/>
  </r>
  <r>
    <n v="1000"/>
    <s v="Mick"/>
    <s v="Coniam"/>
    <n v="72407000"/>
    <s v="ahorros"/>
    <n v="77394.34"/>
    <d v="2021-08-23T00:00:00"/>
    <d v="2016-12-16T00:00:00"/>
    <s v="BELDING"/>
    <s v="Priekule"/>
    <n v="1406"/>
    <s v="Inactivo"/>
    <n v="284.79809999999998"/>
    <n v="272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C42174-93E9-4997-BE84-1641F1504285}" name="ResumenICETEX" cacheId="0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 chartFormat="1">
  <location ref="B3:D7" firstHeaderRow="1" firstDataRow="2" firstDataCol="1"/>
  <pivotFields count="15">
    <pivotField dataField="1" showAll="0"/>
    <pivotField showAll="0"/>
    <pivotField showAll="0"/>
    <pivotField showAll="0"/>
    <pivotField showAll="0"/>
    <pivotField numFmtId="166" showAll="0"/>
    <pivotField numFmtId="14" showAll="0"/>
    <pivotField numFmtId="14" showAll="0"/>
    <pivotField showAll="0"/>
    <pivotField showAll="0"/>
    <pivotField dataField="1" numFmtId="2" showAll="0"/>
    <pivotField showAll="0"/>
    <pivotField numFmtId="166" showAll="0"/>
    <pivotField numFmtId="166" showAll="0"/>
    <pivotField axis="axisRow" showAll="0">
      <items count="3">
        <item x="0"/>
        <item x="1"/>
        <item t="default"/>
      </items>
    </pivotField>
  </pivotFields>
  <rowFields count="1">
    <field x="14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Cantidad cuentas" fld="0" subtotal="count" baseField="0" baseItem="0"/>
    <dataField name="Promedio días inactivo" fld="10" subtotal="average" baseField="0" baseItem="0" numFmtId="2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C7C079B-220B-4C48-9CA1-AA0F78E6CA15}" name="ICETEX" displayName="ICETEX" ref="A1:J1001" totalsRowShown="0" headerRowDxfId="13" headerRowBorderDxfId="12" tableBorderDxfId="11" totalsRowBorderDxfId="10">
  <autoFilter ref="A1:J1001" xr:uid="{0C7C079B-220B-4C48-9CA1-AA0F78E6CA15}"/>
  <tableColumns count="10">
    <tableColumn id="1" xr3:uid="{F2CEF26A-3334-424D-9E47-32143C046423}" name="id" dataDxfId="9"/>
    <tableColumn id="2" xr3:uid="{077EB9BA-8A3D-4741-86F6-BC98D937CEBA}" name="nombre_titular" dataDxfId="8"/>
    <tableColumn id="3" xr3:uid="{65B49A30-93CA-4764-B397-DCF2C940A40F}" name="apellido_titular" dataDxfId="7"/>
    <tableColumn id="4" xr3:uid="{27911D10-336E-4FA3-9D51-44077FD785D6}" name="número_cuenta" dataDxfId="6"/>
    <tableColumn id="5" xr3:uid="{F7374361-A4BA-4B38-9F14-B488F4663C38}" name="tipo_cuenta" dataDxfId="5"/>
    <tableColumn id="6" xr3:uid="{7E7E4CF4-DC84-44FC-9F31-017E8C8ABF65}" name="saldo_actual" dataDxfId="4" dataCellStyle="Comma"/>
    <tableColumn id="7" xr3:uid="{AD040FC2-3A67-47B2-B478-3C72D05B42DC}" name="fecha_ultimo_movimiento" dataDxfId="3"/>
    <tableColumn id="8" xr3:uid="{4247FE85-54CC-413B-9E96-FDD2E67AC672}" name="fecha_apertura" dataDxfId="2"/>
    <tableColumn id="9" xr3:uid="{328D09AE-F2C4-4FD3-9E6C-0D36ACE957E4}" name="sucursal" dataDxfId="1"/>
    <tableColumn id="10" xr3:uid="{9AF6D1B5-DDF3-4F20-A73F-F8A293E791F4}" name="ciudad_sucursa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087A6-C52F-47EA-AC23-49E97A909857}">
  <sheetPr codeName="Sheet1"/>
  <dimension ref="A1:P1001"/>
  <sheetViews>
    <sheetView tabSelected="1" topLeftCell="L1" workbookViewId="0">
      <selection activeCell="P5" sqref="P5"/>
    </sheetView>
  </sheetViews>
  <sheetFormatPr defaultColWidth="15.7265625" defaultRowHeight="14.5"/>
  <cols>
    <col min="2" max="2" width="16.453125" customWidth="1"/>
    <col min="3" max="3" width="16.81640625" customWidth="1"/>
    <col min="4" max="4" width="17.26953125" customWidth="1"/>
    <col min="6" max="6" width="15.7265625" style="24"/>
    <col min="7" max="7" width="26.54296875" style="3" customWidth="1"/>
    <col min="8" max="8" width="16.81640625" customWidth="1"/>
    <col min="10" max="10" width="26.81640625" customWidth="1"/>
    <col min="13" max="14" width="15.7265625" style="24"/>
  </cols>
  <sheetData>
    <row r="1" spans="1:16" ht="26.5" thickBot="1">
      <c r="A1" s="9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27" t="s">
        <v>5</v>
      </c>
      <c r="G1" s="22" t="s">
        <v>6</v>
      </c>
      <c r="H1" s="10" t="s">
        <v>7</v>
      </c>
      <c r="I1" s="10" t="s">
        <v>8</v>
      </c>
      <c r="J1" s="11" t="s">
        <v>9</v>
      </c>
      <c r="K1" s="5" t="s">
        <v>3261</v>
      </c>
      <c r="L1" t="s">
        <v>3262</v>
      </c>
      <c r="M1" s="24" t="s">
        <v>3263</v>
      </c>
      <c r="N1" s="24" t="s">
        <v>3260</v>
      </c>
      <c r="O1" t="s">
        <v>3259</v>
      </c>
    </row>
    <row r="2" spans="1:16" ht="15" thickBot="1">
      <c r="A2" s="6">
        <v>1</v>
      </c>
      <c r="B2" s="1" t="s">
        <v>10</v>
      </c>
      <c r="C2" s="1" t="s">
        <v>11</v>
      </c>
      <c r="D2" s="2">
        <v>123308825</v>
      </c>
      <c r="E2" s="1" t="s">
        <v>12</v>
      </c>
      <c r="F2" s="25">
        <v>97317.25</v>
      </c>
      <c r="G2" s="4">
        <v>45821</v>
      </c>
      <c r="H2" s="4">
        <v>43389</v>
      </c>
      <c r="I2" s="1" t="s">
        <v>13</v>
      </c>
      <c r="J2" s="7" t="s">
        <v>14</v>
      </c>
      <c r="K2" s="17">
        <v>16</v>
      </c>
      <c r="L2" t="str">
        <f ca="1">+IF(TODAY()-ICETEX[[#This Row],[fecha_ultimo_movimiento]]&gt;360,"Inactivo","Activo")</f>
        <v>Activo</v>
      </c>
      <c r="M2" s="24">
        <f>+VLOOKUP(ICETEX[[#This Row],[fecha_ultimo_movimiento]],UVR!A:B,2,0)</f>
        <v>391.34039999999999</v>
      </c>
      <c r="N2" s="24">
        <v>249</v>
      </c>
      <c r="O2" t="s">
        <v>3264</v>
      </c>
      <c r="P2" s="26"/>
    </row>
    <row r="3" spans="1:16" ht="15" thickBot="1">
      <c r="A3" s="6">
        <v>2</v>
      </c>
      <c r="B3" s="1" t="s">
        <v>15</v>
      </c>
      <c r="C3" s="1" t="s">
        <v>16</v>
      </c>
      <c r="D3" s="2">
        <v>53202130</v>
      </c>
      <c r="E3" s="1" t="s">
        <v>12</v>
      </c>
      <c r="F3" s="25">
        <v>35823.379999999997</v>
      </c>
      <c r="G3" s="4">
        <v>43995</v>
      </c>
      <c r="H3" s="4">
        <v>42489</v>
      </c>
      <c r="I3" s="1" t="s">
        <v>17</v>
      </c>
      <c r="J3" s="7" t="s">
        <v>18</v>
      </c>
      <c r="K3" s="17">
        <v>1842</v>
      </c>
      <c r="L3" t="str">
        <f ca="1">+IF(TODAY()-ICETEX[[#This Row],[fecha_ultimo_movimiento]]&gt;360,"Inactivo","Activo")</f>
        <v>Inactivo</v>
      </c>
      <c r="M3" s="24">
        <f>+VLOOKUP(ICETEX[[#This Row],[fecha_ultimo_movimiento]],UVR!A:B,2,0)</f>
        <v>276.49380000000002</v>
      </c>
      <c r="N3" s="24">
        <v>130</v>
      </c>
      <c r="O3" t="s">
        <v>3265</v>
      </c>
    </row>
    <row r="4" spans="1:16" ht="15" thickBot="1">
      <c r="A4" s="6">
        <v>3</v>
      </c>
      <c r="B4" s="1" t="s">
        <v>19</v>
      </c>
      <c r="C4" s="1" t="s">
        <v>20</v>
      </c>
      <c r="D4" s="2">
        <v>101902298</v>
      </c>
      <c r="E4" s="1" t="s">
        <v>12</v>
      </c>
      <c r="F4" s="25">
        <v>164322.98000000001</v>
      </c>
      <c r="G4" s="4">
        <v>43837</v>
      </c>
      <c r="H4" s="4">
        <v>42847</v>
      </c>
      <c r="I4" s="1" t="s">
        <v>21</v>
      </c>
      <c r="J4" s="8" t="s">
        <v>22</v>
      </c>
      <c r="K4" s="17">
        <v>2000</v>
      </c>
      <c r="L4" t="str">
        <f ca="1">+IF(TODAY()-ICETEX[[#This Row],[fecha_ultimo_movimiento]]&gt;360,"Inactivo","Activo")</f>
        <v>Inactivo</v>
      </c>
      <c r="M4" s="24">
        <f>+VLOOKUP(ICETEX[[#This Row],[fecha_ultimo_movimiento]],UVR!A:B,2,0)</f>
        <v>270.77429999999998</v>
      </c>
      <c r="N4" s="24">
        <v>607</v>
      </c>
      <c r="O4" t="s">
        <v>3264</v>
      </c>
    </row>
    <row r="5" spans="1:16" ht="15" thickBot="1">
      <c r="A5" s="6">
        <v>4</v>
      </c>
      <c r="B5" s="1" t="s">
        <v>23</v>
      </c>
      <c r="C5" s="1" t="s">
        <v>24</v>
      </c>
      <c r="D5" s="2">
        <v>83901744</v>
      </c>
      <c r="E5" s="1" t="s">
        <v>12</v>
      </c>
      <c r="F5" s="25">
        <v>178850.19</v>
      </c>
      <c r="G5" s="4">
        <v>44768</v>
      </c>
      <c r="H5" s="4">
        <v>42984</v>
      </c>
      <c r="I5" s="1" t="s">
        <v>25</v>
      </c>
      <c r="J5" s="7" t="s">
        <v>26</v>
      </c>
      <c r="K5" s="17">
        <v>1069</v>
      </c>
      <c r="L5" t="str">
        <f ca="1">+IF(TODAY()-ICETEX[[#This Row],[fecha_ultimo_movimiento]]&gt;360,"Inactivo","Activo")</f>
        <v>Inactivo</v>
      </c>
      <c r="M5" s="24">
        <f>+VLOOKUP(ICETEX[[#This Row],[fecha_ultimo_movimiento]],UVR!A:B,2,0)</f>
        <v>311.08569999999997</v>
      </c>
      <c r="N5" s="24">
        <v>575</v>
      </c>
      <c r="O5" t="s">
        <v>3264</v>
      </c>
    </row>
    <row r="6" spans="1:16" ht="15" thickBot="1">
      <c r="A6" s="6">
        <v>5</v>
      </c>
      <c r="B6" s="1" t="s">
        <v>27</v>
      </c>
      <c r="C6" s="1" t="s">
        <v>28</v>
      </c>
      <c r="D6" s="2">
        <v>51409210</v>
      </c>
      <c r="E6" s="1" t="s">
        <v>12</v>
      </c>
      <c r="F6" s="25">
        <v>109913.38</v>
      </c>
      <c r="G6" s="4">
        <v>44828</v>
      </c>
      <c r="H6" s="4">
        <v>42371</v>
      </c>
      <c r="I6" s="1" t="s">
        <v>29</v>
      </c>
      <c r="J6" s="7" t="s">
        <v>30</v>
      </c>
      <c r="K6" s="17">
        <v>1009</v>
      </c>
      <c r="L6" t="str">
        <f ca="1">+IF(TODAY()-ICETEX[[#This Row],[fecha_ultimo_movimiento]]&gt;360,"Inactivo","Activo")</f>
        <v>Inactivo</v>
      </c>
      <c r="M6" s="24">
        <f>+VLOOKUP(ICETEX[[#This Row],[fecha_ultimo_movimiento]],UVR!A:B,2,0)</f>
        <v>315.59589999999997</v>
      </c>
      <c r="N6" s="24">
        <v>348</v>
      </c>
      <c r="O6" t="s">
        <v>3264</v>
      </c>
    </row>
    <row r="7" spans="1:16" ht="15" thickBot="1">
      <c r="A7" s="6">
        <v>6</v>
      </c>
      <c r="B7" s="1" t="s">
        <v>31</v>
      </c>
      <c r="C7" s="1" t="s">
        <v>32</v>
      </c>
      <c r="D7" s="2">
        <v>91909217</v>
      </c>
      <c r="E7" s="1" t="s">
        <v>12</v>
      </c>
      <c r="F7" s="25">
        <v>209675.33</v>
      </c>
      <c r="G7" s="4">
        <v>44076</v>
      </c>
      <c r="H7" s="4">
        <v>43262</v>
      </c>
      <c r="I7" s="1" t="s">
        <v>33</v>
      </c>
      <c r="J7" s="7" t="s">
        <v>34</v>
      </c>
      <c r="K7" s="17">
        <v>1761</v>
      </c>
      <c r="L7" t="str">
        <f ca="1">+IF(TODAY()-ICETEX[[#This Row],[fecha_ultimo_movimiento]]&gt;360,"Inactivo","Activo")</f>
        <v>Inactivo</v>
      </c>
      <c r="M7" s="24">
        <f>+VLOOKUP(ICETEX[[#This Row],[fecha_ultimo_movimiento]],UVR!A:B,2,0)</f>
        <v>274.58999999999997</v>
      </c>
      <c r="N7" s="24">
        <v>764</v>
      </c>
      <c r="O7" t="s">
        <v>3264</v>
      </c>
    </row>
    <row r="8" spans="1:16" ht="15" thickBot="1">
      <c r="A8" s="6">
        <v>7</v>
      </c>
      <c r="B8" s="1" t="s">
        <v>35</v>
      </c>
      <c r="C8" s="1" t="s">
        <v>36</v>
      </c>
      <c r="D8" s="2">
        <v>42207308</v>
      </c>
      <c r="E8" s="1" t="s">
        <v>12</v>
      </c>
      <c r="F8" s="25">
        <v>216363.76</v>
      </c>
      <c r="G8" s="4">
        <v>44709</v>
      </c>
      <c r="H8" s="4">
        <v>42834</v>
      </c>
      <c r="I8" s="1" t="s">
        <v>37</v>
      </c>
      <c r="J8" s="7" t="s">
        <v>38</v>
      </c>
      <c r="K8" s="17">
        <v>1128</v>
      </c>
      <c r="L8" t="str">
        <f ca="1">+IF(TODAY()-ICETEX[[#This Row],[fecha_ultimo_movimiento]]&gt;360,"Inactivo","Activo")</f>
        <v>Inactivo</v>
      </c>
      <c r="M8" s="24">
        <f>+VLOOKUP(ICETEX[[#This Row],[fecha_ultimo_movimiento]],UVR!A:B,2,0)</f>
        <v>305.72480000000002</v>
      </c>
      <c r="N8" s="24">
        <v>708</v>
      </c>
      <c r="O8" t="s">
        <v>3264</v>
      </c>
    </row>
    <row r="9" spans="1:16" ht="15" thickBot="1">
      <c r="A9" s="6">
        <v>8</v>
      </c>
      <c r="B9" s="1" t="s">
        <v>39</v>
      </c>
      <c r="C9" s="1" t="s">
        <v>40</v>
      </c>
      <c r="D9" s="2">
        <v>61104877</v>
      </c>
      <c r="E9" s="1" t="s">
        <v>12</v>
      </c>
      <c r="F9" s="25">
        <v>176662.15</v>
      </c>
      <c r="G9" s="4">
        <v>45493</v>
      </c>
      <c r="H9" s="4">
        <v>42598</v>
      </c>
      <c r="I9" s="1" t="s">
        <v>41</v>
      </c>
      <c r="J9" s="7" t="s">
        <v>42</v>
      </c>
      <c r="K9" s="17">
        <v>344</v>
      </c>
      <c r="L9" t="str">
        <f ca="1">+IF(TODAY()-ICETEX[[#This Row],[fecha_ultimo_movimiento]]&gt;360,"Inactivo","Activo")</f>
        <v>Activo</v>
      </c>
      <c r="M9" s="24">
        <f>+VLOOKUP(ICETEX[[#This Row],[fecha_ultimo_movimiento]],UVR!A:B,2,0)</f>
        <v>374.08609999999999</v>
      </c>
      <c r="N9" s="24">
        <v>472</v>
      </c>
      <c r="O9" t="s">
        <v>3264</v>
      </c>
    </row>
    <row r="10" spans="1:16" ht="15" thickBot="1">
      <c r="A10" s="6">
        <v>9</v>
      </c>
      <c r="B10" s="1" t="s">
        <v>43</v>
      </c>
      <c r="C10" s="1" t="s">
        <v>44</v>
      </c>
      <c r="D10" s="2">
        <v>84309125</v>
      </c>
      <c r="E10" s="1" t="s">
        <v>45</v>
      </c>
      <c r="F10" s="25">
        <v>12575.97</v>
      </c>
      <c r="G10" s="4">
        <v>45809</v>
      </c>
      <c r="H10" s="4">
        <v>42634</v>
      </c>
      <c r="I10" s="1" t="s">
        <v>46</v>
      </c>
      <c r="J10" s="7" t="s">
        <v>47</v>
      </c>
      <c r="K10" s="17">
        <v>28</v>
      </c>
      <c r="L10" t="str">
        <f ca="1">+IF(TODAY()-ICETEX[[#This Row],[fecha_ultimo_movimiento]]&gt;360,"Inactivo","Activo")</f>
        <v>Activo</v>
      </c>
      <c r="M10" s="24">
        <f>+VLOOKUP(ICETEX[[#This Row],[fecha_ultimo_movimiento]],UVR!A:B,2,0)</f>
        <v>390.3451</v>
      </c>
      <c r="N10" s="24">
        <v>32</v>
      </c>
      <c r="O10" t="s">
        <v>3264</v>
      </c>
    </row>
    <row r="11" spans="1:16" ht="15" thickBot="1">
      <c r="A11" s="6">
        <v>10</v>
      </c>
      <c r="B11" s="1" t="s">
        <v>48</v>
      </c>
      <c r="C11" s="1" t="s">
        <v>49</v>
      </c>
      <c r="D11" s="2">
        <v>71909062</v>
      </c>
      <c r="E11" s="1" t="s">
        <v>12</v>
      </c>
      <c r="F11" s="25">
        <v>115394.38</v>
      </c>
      <c r="G11" s="4">
        <v>45331</v>
      </c>
      <c r="H11" s="4">
        <v>42856</v>
      </c>
      <c r="I11" s="1" t="s">
        <v>50</v>
      </c>
      <c r="J11" s="7" t="s">
        <v>51</v>
      </c>
      <c r="K11" s="17">
        <v>506</v>
      </c>
      <c r="L11" t="str">
        <f ca="1">+IF(TODAY()-ICETEX[[#This Row],[fecha_ultimo_movimiento]]&gt;360,"Inactivo","Activo")</f>
        <v>Inactivo</v>
      </c>
      <c r="M11" s="24">
        <f>+VLOOKUP(ICETEX[[#This Row],[fecha_ultimo_movimiento]],UVR!A:B,2,0)</f>
        <v>359.94589999999999</v>
      </c>
      <c r="N11" s="24">
        <v>321</v>
      </c>
      <c r="O11" t="s">
        <v>3265</v>
      </c>
    </row>
    <row r="12" spans="1:16" ht="15" thickBot="1">
      <c r="A12" s="6">
        <v>11</v>
      </c>
      <c r="B12" s="1" t="s">
        <v>52</v>
      </c>
      <c r="C12" s="1" t="s">
        <v>53</v>
      </c>
      <c r="D12" s="2">
        <v>107005254</v>
      </c>
      <c r="E12" s="1" t="s">
        <v>12</v>
      </c>
      <c r="F12" s="25">
        <v>129166.04</v>
      </c>
      <c r="G12" s="4">
        <v>44355</v>
      </c>
      <c r="H12" s="4">
        <v>42544</v>
      </c>
      <c r="I12" s="1" t="s">
        <v>54</v>
      </c>
      <c r="J12" s="7" t="s">
        <v>55</v>
      </c>
      <c r="K12" s="17">
        <v>1482</v>
      </c>
      <c r="L12" t="str">
        <f ca="1">+IF(TODAY()-ICETEX[[#This Row],[fecha_ultimo_movimiento]]&gt;360,"Inactivo","Activo")</f>
        <v>Inactivo</v>
      </c>
      <c r="M12" s="24">
        <f>+VLOOKUP(ICETEX[[#This Row],[fecha_ultimo_movimiento]],UVR!A:B,2,0)</f>
        <v>281.5127</v>
      </c>
      <c r="N12" s="24">
        <v>459</v>
      </c>
      <c r="O12" t="s">
        <v>3264</v>
      </c>
    </row>
    <row r="13" spans="1:16" ht="15" thickBot="1">
      <c r="A13" s="6">
        <v>12</v>
      </c>
      <c r="B13" s="1" t="s">
        <v>56</v>
      </c>
      <c r="C13" s="1" t="s">
        <v>57</v>
      </c>
      <c r="D13" s="2">
        <v>122239322</v>
      </c>
      <c r="E13" s="1" t="s">
        <v>45</v>
      </c>
      <c r="F13" s="25">
        <v>84049.53</v>
      </c>
      <c r="G13" s="4">
        <v>45780</v>
      </c>
      <c r="H13" s="4">
        <v>42477</v>
      </c>
      <c r="I13" s="1" t="s">
        <v>58</v>
      </c>
      <c r="J13" s="7" t="s">
        <v>59</v>
      </c>
      <c r="K13" s="17">
        <v>57</v>
      </c>
      <c r="L13" t="str">
        <f ca="1">+IF(TODAY()-ICETEX[[#This Row],[fecha_ultimo_movimiento]]&gt;360,"Inactivo","Activo")</f>
        <v>Activo</v>
      </c>
      <c r="M13" s="24">
        <f>+VLOOKUP(ICETEX[[#This Row],[fecha_ultimo_movimiento]],UVR!A:B,2,0)</f>
        <v>388.13350000000003</v>
      </c>
      <c r="N13" s="24">
        <v>217</v>
      </c>
      <c r="O13" t="s">
        <v>3264</v>
      </c>
    </row>
    <row r="14" spans="1:16" ht="15" thickBot="1">
      <c r="A14" s="6">
        <v>13</v>
      </c>
      <c r="B14" s="1" t="s">
        <v>60</v>
      </c>
      <c r="C14" s="1" t="s">
        <v>61</v>
      </c>
      <c r="D14" s="2">
        <v>75918295</v>
      </c>
      <c r="E14" s="1" t="s">
        <v>12</v>
      </c>
      <c r="F14" s="25">
        <v>119493.92</v>
      </c>
      <c r="G14" s="4">
        <v>44103</v>
      </c>
      <c r="H14" s="4">
        <v>43126</v>
      </c>
      <c r="I14" s="1" t="s">
        <v>62</v>
      </c>
      <c r="J14" s="8" t="s">
        <v>63</v>
      </c>
      <c r="K14" s="17">
        <v>1734</v>
      </c>
      <c r="L14" t="str">
        <f ca="1">+IF(TODAY()-ICETEX[[#This Row],[fecha_ultimo_movimiento]]&gt;360,"Inactivo","Activo")</f>
        <v>Inactivo</v>
      </c>
      <c r="M14" s="24">
        <f>+VLOOKUP(ICETEX[[#This Row],[fecha_ultimo_movimiento]],UVR!A:B,2,0)</f>
        <v>274.5772</v>
      </c>
      <c r="N14" s="24">
        <v>435</v>
      </c>
      <c r="O14" t="s">
        <v>3264</v>
      </c>
    </row>
    <row r="15" spans="1:16" ht="15" thickBot="1">
      <c r="A15" s="6">
        <v>14</v>
      </c>
      <c r="B15" s="1" t="s">
        <v>64</v>
      </c>
      <c r="C15" s="1" t="s">
        <v>65</v>
      </c>
      <c r="D15" s="2">
        <v>107006431</v>
      </c>
      <c r="E15" s="1" t="s">
        <v>45</v>
      </c>
      <c r="F15" s="25">
        <v>110643.28</v>
      </c>
      <c r="G15" s="4">
        <v>45701</v>
      </c>
      <c r="H15" s="4">
        <v>42728</v>
      </c>
      <c r="I15" s="1" t="s">
        <v>54</v>
      </c>
      <c r="J15" s="7" t="s">
        <v>66</v>
      </c>
      <c r="K15" s="17">
        <v>136</v>
      </c>
      <c r="L15" t="str">
        <f ca="1">+IF(TODAY()-ICETEX[[#This Row],[fecha_ultimo_movimiento]]&gt;360,"Inactivo","Activo")</f>
        <v>Activo</v>
      </c>
      <c r="M15" s="24">
        <f>+VLOOKUP(ICETEX[[#This Row],[fecha_ultimo_movimiento]],UVR!A:B,2,0)</f>
        <v>378.89139999999998</v>
      </c>
      <c r="N15" s="24">
        <v>292</v>
      </c>
      <c r="O15" t="s">
        <v>3264</v>
      </c>
    </row>
    <row r="16" spans="1:16" ht="15" thickBot="1">
      <c r="A16" s="6">
        <v>15</v>
      </c>
      <c r="B16" s="1" t="s">
        <v>67</v>
      </c>
      <c r="C16" s="1" t="s">
        <v>68</v>
      </c>
      <c r="D16" s="2">
        <v>61309229</v>
      </c>
      <c r="E16" s="1" t="s">
        <v>12</v>
      </c>
      <c r="F16" s="25">
        <v>212455.81</v>
      </c>
      <c r="G16" s="4">
        <v>44446</v>
      </c>
      <c r="H16" s="4">
        <v>42482</v>
      </c>
      <c r="I16" s="1" t="s">
        <v>69</v>
      </c>
      <c r="J16" s="7" t="s">
        <v>70</v>
      </c>
      <c r="K16" s="17">
        <v>1391</v>
      </c>
      <c r="L16" t="str">
        <f ca="1">+IF(TODAY()-ICETEX[[#This Row],[fecha_ultimo_movimiento]]&gt;360,"Inactivo","Activo")</f>
        <v>Inactivo</v>
      </c>
      <c r="M16" s="24">
        <f>+VLOOKUP(ICETEX[[#This Row],[fecha_ultimo_movimiento]],UVR!A:B,2,0)</f>
        <v>285.23869999999999</v>
      </c>
      <c r="N16" s="24">
        <v>745</v>
      </c>
      <c r="O16" t="s">
        <v>3264</v>
      </c>
    </row>
    <row r="17" spans="1:15" ht="15" thickBot="1">
      <c r="A17" s="6">
        <v>16</v>
      </c>
      <c r="B17" s="1" t="s">
        <v>71</v>
      </c>
      <c r="C17" s="1" t="s">
        <v>72</v>
      </c>
      <c r="D17" s="2">
        <v>64201120</v>
      </c>
      <c r="E17" s="1" t="s">
        <v>12</v>
      </c>
      <c r="F17" s="25">
        <v>90310.91</v>
      </c>
      <c r="G17" s="4">
        <v>45635</v>
      </c>
      <c r="H17" s="4">
        <v>43359</v>
      </c>
      <c r="I17" s="1" t="s">
        <v>73</v>
      </c>
      <c r="J17" s="7" t="s">
        <v>74</v>
      </c>
      <c r="K17" s="17">
        <v>202</v>
      </c>
      <c r="L17" t="str">
        <f ca="1">+IF(TODAY()-ICETEX[[#This Row],[fecha_ultimo_movimiento]]&gt;360,"Inactivo","Activo")</f>
        <v>Activo</v>
      </c>
      <c r="M17" s="24">
        <f>+VLOOKUP(ICETEX[[#This Row],[fecha_ultimo_movimiento]],UVR!A:B,2,0)</f>
        <v>376.35019999999997</v>
      </c>
      <c r="N17" s="24">
        <v>240</v>
      </c>
      <c r="O17" t="s">
        <v>3264</v>
      </c>
    </row>
    <row r="18" spans="1:15" ht="15" thickBot="1">
      <c r="A18" s="6">
        <v>17</v>
      </c>
      <c r="B18" s="1" t="s">
        <v>75</v>
      </c>
      <c r="C18" s="1" t="s">
        <v>76</v>
      </c>
      <c r="D18" s="2">
        <v>65201064</v>
      </c>
      <c r="E18" s="1" t="s">
        <v>12</v>
      </c>
      <c r="F18" s="25">
        <v>122568.83</v>
      </c>
      <c r="G18" s="4">
        <v>45113</v>
      </c>
      <c r="H18" s="4">
        <v>43018</v>
      </c>
      <c r="I18" s="1" t="s">
        <v>13</v>
      </c>
      <c r="J18" s="7" t="s">
        <v>77</v>
      </c>
      <c r="K18" s="17">
        <v>724</v>
      </c>
      <c r="L18" t="str">
        <f ca="1">+IF(TODAY()-ICETEX[[#This Row],[fecha_ultimo_movimiento]]&gt;360,"Inactivo","Activo")</f>
        <v>Inactivo</v>
      </c>
      <c r="M18" s="24">
        <f>+VLOOKUP(ICETEX[[#This Row],[fecha_ultimo_movimiento]],UVR!A:B,2,0)</f>
        <v>348.4572</v>
      </c>
      <c r="N18" s="24">
        <v>352</v>
      </c>
      <c r="O18" t="s">
        <v>3264</v>
      </c>
    </row>
    <row r="19" spans="1:15" ht="15" thickBot="1">
      <c r="A19" s="6">
        <v>18</v>
      </c>
      <c r="B19" s="1" t="s">
        <v>78</v>
      </c>
      <c r="C19" s="1" t="s">
        <v>79</v>
      </c>
      <c r="D19" s="2">
        <v>61103153</v>
      </c>
      <c r="E19" s="1" t="s">
        <v>45</v>
      </c>
      <c r="F19" s="25">
        <v>141078.45000000001</v>
      </c>
      <c r="G19" s="4">
        <v>44402</v>
      </c>
      <c r="H19" s="4">
        <v>42421</v>
      </c>
      <c r="I19" s="1" t="s">
        <v>80</v>
      </c>
      <c r="J19" s="7" t="s">
        <v>81</v>
      </c>
      <c r="K19" s="17">
        <v>1435</v>
      </c>
      <c r="L19" t="str">
        <f ca="1">+IF(TODAY()-ICETEX[[#This Row],[fecha_ultimo_movimiento]]&gt;360,"Inactivo","Activo")</f>
        <v>Inactivo</v>
      </c>
      <c r="M19" s="24">
        <f>+VLOOKUP(ICETEX[[#This Row],[fecha_ultimo_movimiento]],UVR!A:B,2,0)</f>
        <v>284.65989999999999</v>
      </c>
      <c r="N19" s="24">
        <v>496</v>
      </c>
      <c r="O19" t="s">
        <v>3264</v>
      </c>
    </row>
    <row r="20" spans="1:15" ht="15" thickBot="1">
      <c r="A20" s="6">
        <v>19</v>
      </c>
      <c r="B20" s="1" t="s">
        <v>82</v>
      </c>
      <c r="C20" s="1" t="s">
        <v>83</v>
      </c>
      <c r="D20" s="2">
        <v>21213397</v>
      </c>
      <c r="E20" s="1" t="s">
        <v>45</v>
      </c>
      <c r="F20" s="25">
        <v>68656.92</v>
      </c>
      <c r="G20" s="4">
        <v>44211</v>
      </c>
      <c r="H20" s="4">
        <v>42564</v>
      </c>
      <c r="I20" s="1" t="s">
        <v>84</v>
      </c>
      <c r="J20" s="7" t="s">
        <v>85</v>
      </c>
      <c r="K20" s="17">
        <v>1626</v>
      </c>
      <c r="L20" t="str">
        <f ca="1">+IF(TODAY()-ICETEX[[#This Row],[fecha_ultimo_movimiento]]&gt;360,"Inactivo","Activo")</f>
        <v>Inactivo</v>
      </c>
      <c r="M20" s="24">
        <f>+VLOOKUP(ICETEX[[#This Row],[fecha_ultimo_movimiento]],UVR!A:B,2,0)</f>
        <v>274.86290000000002</v>
      </c>
      <c r="N20" s="24">
        <v>250</v>
      </c>
      <c r="O20" t="s">
        <v>3265</v>
      </c>
    </row>
    <row r="21" spans="1:15" ht="15" thickBot="1">
      <c r="A21" s="6">
        <v>20</v>
      </c>
      <c r="B21" s="1" t="s">
        <v>86</v>
      </c>
      <c r="C21" s="1" t="s">
        <v>87</v>
      </c>
      <c r="D21" s="2">
        <v>53102117</v>
      </c>
      <c r="E21" s="1" t="s">
        <v>12</v>
      </c>
      <c r="F21" s="25">
        <v>83692.850000000006</v>
      </c>
      <c r="G21" s="4">
        <v>45166</v>
      </c>
      <c r="H21" s="4">
        <v>43446</v>
      </c>
      <c r="I21" s="1" t="s">
        <v>88</v>
      </c>
      <c r="J21" s="7" t="s">
        <v>89</v>
      </c>
      <c r="K21" s="17">
        <v>671</v>
      </c>
      <c r="L21" t="str">
        <f ca="1">+IF(TODAY()-ICETEX[[#This Row],[fecha_ultimo_movimiento]]&gt;360,"Inactivo","Activo")</f>
        <v>Inactivo</v>
      </c>
      <c r="M21" s="24">
        <f>+VLOOKUP(ICETEX[[#This Row],[fecha_ultimo_movimiento]],UVR!A:B,2,0)</f>
        <v>350.68549999999999</v>
      </c>
      <c r="N21" s="24">
        <v>239</v>
      </c>
      <c r="O21" t="s">
        <v>3265</v>
      </c>
    </row>
    <row r="22" spans="1:15" ht="15" thickBot="1">
      <c r="A22" s="6">
        <v>21</v>
      </c>
      <c r="B22" s="1" t="s">
        <v>90</v>
      </c>
      <c r="C22" s="1" t="s">
        <v>91</v>
      </c>
      <c r="D22" s="2">
        <v>84303008</v>
      </c>
      <c r="E22" s="1" t="s">
        <v>45</v>
      </c>
      <c r="F22" s="25">
        <v>33374.370000000003</v>
      </c>
      <c r="G22" s="4">
        <v>45033</v>
      </c>
      <c r="H22" s="4">
        <v>43009</v>
      </c>
      <c r="I22" s="1" t="s">
        <v>92</v>
      </c>
      <c r="J22" s="7" t="s">
        <v>93</v>
      </c>
      <c r="K22" s="17">
        <v>804</v>
      </c>
      <c r="L22" t="str">
        <f ca="1">+IF(TODAY()-ICETEX[[#This Row],[fecha_ultimo_movimiento]]&gt;360,"Inactivo","Activo")</f>
        <v>Inactivo</v>
      </c>
      <c r="M22" s="24">
        <f>+VLOOKUP(ICETEX[[#This Row],[fecha_ultimo_movimiento]],UVR!A:B,2,0)</f>
        <v>341.37900000000002</v>
      </c>
      <c r="N22" s="24">
        <v>98</v>
      </c>
      <c r="O22" t="s">
        <v>3265</v>
      </c>
    </row>
    <row r="23" spans="1:15" ht="15" thickBot="1">
      <c r="A23" s="6">
        <v>22</v>
      </c>
      <c r="B23" s="1" t="s">
        <v>94</v>
      </c>
      <c r="C23" s="1" t="s">
        <v>95</v>
      </c>
      <c r="D23" s="2">
        <v>31302803</v>
      </c>
      <c r="E23" s="1" t="s">
        <v>45</v>
      </c>
      <c r="F23" s="25">
        <v>208272.21</v>
      </c>
      <c r="G23" s="4">
        <v>45768</v>
      </c>
      <c r="H23" s="4">
        <v>42600</v>
      </c>
      <c r="I23" s="1" t="s">
        <v>96</v>
      </c>
      <c r="J23" s="7" t="s">
        <v>97</v>
      </c>
      <c r="K23" s="17">
        <v>69</v>
      </c>
      <c r="L23" t="str">
        <f ca="1">+IF(TODAY()-ICETEX[[#This Row],[fecha_ultimo_movimiento]]&gt;360,"Inactivo","Activo")</f>
        <v>Activo</v>
      </c>
      <c r="M23" s="24">
        <f>+VLOOKUP(ICETEX[[#This Row],[fecha_ultimo_movimiento]],UVR!A:B,2,0)</f>
        <v>387.32909999999998</v>
      </c>
      <c r="N23" s="24">
        <v>538</v>
      </c>
      <c r="O23" t="s">
        <v>3264</v>
      </c>
    </row>
    <row r="24" spans="1:15" ht="15" thickBot="1">
      <c r="A24" s="6">
        <v>23</v>
      </c>
      <c r="B24" s="1" t="s">
        <v>98</v>
      </c>
      <c r="C24" s="1" t="s">
        <v>99</v>
      </c>
      <c r="D24" s="2">
        <v>11001962</v>
      </c>
      <c r="E24" s="1" t="s">
        <v>45</v>
      </c>
      <c r="F24" s="25">
        <v>40017.410000000003</v>
      </c>
      <c r="G24" s="4">
        <v>44517</v>
      </c>
      <c r="H24" s="4">
        <v>43311</v>
      </c>
      <c r="I24" s="1" t="s">
        <v>100</v>
      </c>
      <c r="J24" s="7" t="s">
        <v>101</v>
      </c>
      <c r="K24" s="17">
        <v>1320</v>
      </c>
      <c r="L24" t="str">
        <f ca="1">+IF(TODAY()-ICETEX[[#This Row],[fecha_ultimo_movimiento]]&gt;360,"Inactivo","Activo")</f>
        <v>Inactivo</v>
      </c>
      <c r="M24" s="24">
        <f>+VLOOKUP(ICETEX[[#This Row],[fecha_ultimo_movimiento]],UVR!A:B,2,0)</f>
        <v>287.85019999999997</v>
      </c>
      <c r="N24" s="24">
        <v>139</v>
      </c>
      <c r="O24" t="s">
        <v>3265</v>
      </c>
    </row>
    <row r="25" spans="1:15" ht="15" thickBot="1">
      <c r="A25" s="6">
        <v>24</v>
      </c>
      <c r="B25" s="1" t="s">
        <v>102</v>
      </c>
      <c r="C25" s="1" t="s">
        <v>103</v>
      </c>
      <c r="D25" s="2">
        <v>111304064</v>
      </c>
      <c r="E25" s="1" t="s">
        <v>45</v>
      </c>
      <c r="F25" s="25">
        <v>50735.41</v>
      </c>
      <c r="G25" s="4">
        <v>44980</v>
      </c>
      <c r="H25" s="4">
        <v>43187</v>
      </c>
      <c r="I25" s="1" t="s">
        <v>104</v>
      </c>
      <c r="J25" s="7" t="s">
        <v>105</v>
      </c>
      <c r="K25" s="17">
        <v>857</v>
      </c>
      <c r="L25" t="str">
        <f ca="1">+IF(TODAY()-ICETEX[[#This Row],[fecha_ultimo_movimiento]]&gt;360,"Inactivo","Activo")</f>
        <v>Inactivo</v>
      </c>
      <c r="M25" s="24">
        <f>+VLOOKUP(ICETEX[[#This Row],[fecha_ultimo_movimiento]],UVR!A:B,2,0)</f>
        <v>331.36840000000001</v>
      </c>
      <c r="N25" s="24">
        <v>153</v>
      </c>
      <c r="O25" t="s">
        <v>3265</v>
      </c>
    </row>
    <row r="26" spans="1:15" ht="15" thickBot="1">
      <c r="A26" s="6">
        <v>25</v>
      </c>
      <c r="B26" s="1" t="s">
        <v>106</v>
      </c>
      <c r="C26" s="1" t="s">
        <v>107</v>
      </c>
      <c r="D26" s="2">
        <v>122187335</v>
      </c>
      <c r="E26" s="1" t="s">
        <v>12</v>
      </c>
      <c r="F26" s="25">
        <v>55998.74</v>
      </c>
      <c r="G26" s="4">
        <v>45792</v>
      </c>
      <c r="H26" s="4">
        <v>43460</v>
      </c>
      <c r="I26" s="1" t="s">
        <v>108</v>
      </c>
      <c r="J26" s="7" t="s">
        <v>109</v>
      </c>
      <c r="K26" s="17">
        <v>45</v>
      </c>
      <c r="L26" t="str">
        <f ca="1">+IF(TODAY()-ICETEX[[#This Row],[fecha_ultimo_movimiento]]&gt;360,"Inactivo","Activo")</f>
        <v>Activo</v>
      </c>
      <c r="M26" s="24">
        <f>+VLOOKUP(ICETEX[[#This Row],[fecha_ultimo_movimiento]],UVR!A:B,2,0)</f>
        <v>388.93950000000001</v>
      </c>
      <c r="N26" s="24">
        <v>144</v>
      </c>
      <c r="O26" t="s">
        <v>3264</v>
      </c>
    </row>
    <row r="27" spans="1:15" ht="15" thickBot="1">
      <c r="A27" s="6">
        <v>26</v>
      </c>
      <c r="B27" s="1" t="s">
        <v>110</v>
      </c>
      <c r="C27" s="1" t="s">
        <v>111</v>
      </c>
      <c r="D27" s="2">
        <v>122244731</v>
      </c>
      <c r="E27" s="1" t="s">
        <v>45</v>
      </c>
      <c r="F27" s="25">
        <v>159988.47</v>
      </c>
      <c r="G27" s="4">
        <v>44229</v>
      </c>
      <c r="H27" s="4">
        <v>42681</v>
      </c>
      <c r="I27" s="1" t="s">
        <v>112</v>
      </c>
      <c r="J27" s="7" t="s">
        <v>113</v>
      </c>
      <c r="K27" s="17">
        <v>1608</v>
      </c>
      <c r="L27" t="str">
        <f ca="1">+IF(TODAY()-ICETEX[[#This Row],[fecha_ultimo_movimiento]]&gt;360,"Inactivo","Activo")</f>
        <v>Inactivo</v>
      </c>
      <c r="M27" s="24">
        <f>+VLOOKUP(ICETEX[[#This Row],[fecha_ultimo_movimiento]],UVR!A:B,2,0)</f>
        <v>275.46890000000002</v>
      </c>
      <c r="N27" s="24">
        <v>581</v>
      </c>
      <c r="O27" t="s">
        <v>3264</v>
      </c>
    </row>
    <row r="28" spans="1:15" ht="15" thickBot="1">
      <c r="A28" s="6">
        <v>27</v>
      </c>
      <c r="B28" s="1" t="s">
        <v>114</v>
      </c>
      <c r="C28" s="1" t="s">
        <v>115</v>
      </c>
      <c r="D28" s="2">
        <v>74910854</v>
      </c>
      <c r="E28" s="1" t="s">
        <v>45</v>
      </c>
      <c r="F28" s="25">
        <v>71557.08</v>
      </c>
      <c r="G28" s="4">
        <v>45490</v>
      </c>
      <c r="H28" s="4">
        <v>42761</v>
      </c>
      <c r="I28" s="1" t="s">
        <v>116</v>
      </c>
      <c r="J28" s="7" t="s">
        <v>117</v>
      </c>
      <c r="K28" s="17">
        <v>347</v>
      </c>
      <c r="L28" t="str">
        <f ca="1">+IF(TODAY()-ICETEX[[#This Row],[fecha_ultimo_movimiento]]&gt;360,"Inactivo","Activo")</f>
        <v>Activo</v>
      </c>
      <c r="M28" s="24">
        <f>+VLOOKUP(ICETEX[[#This Row],[fecha_ultimo_movimiento]],UVR!A:B,2,0)</f>
        <v>373.97050000000002</v>
      </c>
      <c r="N28" s="24">
        <v>191</v>
      </c>
      <c r="O28" t="s">
        <v>3264</v>
      </c>
    </row>
    <row r="29" spans="1:15" ht="15" thickBot="1">
      <c r="A29" s="6">
        <v>28</v>
      </c>
      <c r="B29" s="1" t="s">
        <v>118</v>
      </c>
      <c r="C29" s="1" t="s">
        <v>119</v>
      </c>
      <c r="D29" s="2">
        <v>64208194</v>
      </c>
      <c r="E29" s="1" t="s">
        <v>45</v>
      </c>
      <c r="F29" s="25">
        <v>192323.85</v>
      </c>
      <c r="G29" s="4">
        <v>44369</v>
      </c>
      <c r="H29" s="4">
        <v>43047</v>
      </c>
      <c r="I29" s="1" t="s">
        <v>13</v>
      </c>
      <c r="J29" s="7" t="s">
        <v>120</v>
      </c>
      <c r="K29" s="17">
        <v>1468</v>
      </c>
      <c r="L29" t="str">
        <f ca="1">+IF(TODAY()-ICETEX[[#This Row],[fecha_ultimo_movimiento]]&gt;360,"Inactivo","Activo")</f>
        <v>Inactivo</v>
      </c>
      <c r="M29" s="24">
        <f>+VLOOKUP(ICETEX[[#This Row],[fecha_ultimo_movimiento]],UVR!A:B,2,0)</f>
        <v>282.5421</v>
      </c>
      <c r="N29" s="24">
        <v>681</v>
      </c>
      <c r="O29" t="s">
        <v>3264</v>
      </c>
    </row>
    <row r="30" spans="1:15" ht="15" thickBot="1">
      <c r="A30" s="6">
        <v>29</v>
      </c>
      <c r="B30" s="1" t="s">
        <v>121</v>
      </c>
      <c r="C30" s="1" t="s">
        <v>122</v>
      </c>
      <c r="D30" s="2">
        <v>91916048</v>
      </c>
      <c r="E30" s="1" t="s">
        <v>12</v>
      </c>
      <c r="F30" s="25">
        <v>113147.29</v>
      </c>
      <c r="G30" s="4">
        <v>45489</v>
      </c>
      <c r="H30" s="4">
        <v>43034</v>
      </c>
      <c r="I30" s="1" t="s">
        <v>123</v>
      </c>
      <c r="J30" s="7" t="s">
        <v>124</v>
      </c>
      <c r="K30" s="17">
        <v>348</v>
      </c>
      <c r="L30" t="str">
        <f ca="1">+IF(TODAY()-ICETEX[[#This Row],[fecha_ultimo_movimiento]]&gt;360,"Inactivo","Activo")</f>
        <v>Activo</v>
      </c>
      <c r="M30" s="24">
        <f>+VLOOKUP(ICETEX[[#This Row],[fecha_ultimo_movimiento]],UVR!A:B,2,0)</f>
        <v>373.93189999999998</v>
      </c>
      <c r="N30" s="24">
        <v>303</v>
      </c>
      <c r="O30" t="s">
        <v>3264</v>
      </c>
    </row>
    <row r="31" spans="1:15" ht="15" thickBot="1">
      <c r="A31" s="6">
        <v>30</v>
      </c>
      <c r="B31" s="1" t="s">
        <v>125</v>
      </c>
      <c r="C31" s="1" t="s">
        <v>126</v>
      </c>
      <c r="D31" s="2">
        <v>71920656</v>
      </c>
      <c r="E31" s="1" t="s">
        <v>45</v>
      </c>
      <c r="F31" s="25">
        <v>113035.52</v>
      </c>
      <c r="G31" s="4">
        <v>44694</v>
      </c>
      <c r="H31" s="4">
        <v>42602</v>
      </c>
      <c r="I31" s="1" t="s">
        <v>127</v>
      </c>
      <c r="J31" s="7" t="s">
        <v>128</v>
      </c>
      <c r="K31" s="17">
        <v>1143</v>
      </c>
      <c r="L31" t="str">
        <f ca="1">+IF(TODAY()-ICETEX[[#This Row],[fecha_ultimo_movimiento]]&gt;360,"Inactivo","Activo")</f>
        <v>Inactivo</v>
      </c>
      <c r="M31" s="24">
        <f>+VLOOKUP(ICETEX[[#This Row],[fecha_ultimo_movimiento]],UVR!A:B,2,0)</f>
        <v>303.93459999999999</v>
      </c>
      <c r="N31" s="24">
        <v>372</v>
      </c>
      <c r="O31" t="s">
        <v>3264</v>
      </c>
    </row>
    <row r="32" spans="1:15" ht="15" thickBot="1">
      <c r="A32" s="6">
        <v>31</v>
      </c>
      <c r="B32" s="1" t="s">
        <v>129</v>
      </c>
      <c r="C32" s="1" t="s">
        <v>130</v>
      </c>
      <c r="D32" s="2">
        <v>67013700</v>
      </c>
      <c r="E32" s="1" t="s">
        <v>12</v>
      </c>
      <c r="F32" s="25">
        <v>46115.55</v>
      </c>
      <c r="G32" s="4">
        <v>44762</v>
      </c>
      <c r="H32" s="4">
        <v>42787</v>
      </c>
      <c r="I32" s="1" t="s">
        <v>131</v>
      </c>
      <c r="J32" s="8" t="s">
        <v>132</v>
      </c>
      <c r="K32" s="17">
        <v>1075</v>
      </c>
      <c r="L32" t="str">
        <f ca="1">+IF(TODAY()-ICETEX[[#This Row],[fecha_ultimo_movimiento]]&gt;360,"Inactivo","Activo")</f>
        <v>Inactivo</v>
      </c>
      <c r="M32" s="24">
        <f>+VLOOKUP(ICETEX[[#This Row],[fecha_ultimo_movimiento]],UVR!A:B,2,0)</f>
        <v>310.77960000000002</v>
      </c>
      <c r="N32" s="24">
        <v>148</v>
      </c>
      <c r="O32" t="s">
        <v>3265</v>
      </c>
    </row>
    <row r="33" spans="1:15" ht="15" thickBot="1">
      <c r="A33" s="6">
        <v>32</v>
      </c>
      <c r="B33" s="1" t="s">
        <v>133</v>
      </c>
      <c r="C33" s="1" t="s">
        <v>134</v>
      </c>
      <c r="D33" s="2">
        <v>84202769</v>
      </c>
      <c r="E33" s="1" t="s">
        <v>45</v>
      </c>
      <c r="F33" s="25">
        <v>24824.18</v>
      </c>
      <c r="G33" s="4">
        <v>44202</v>
      </c>
      <c r="H33" s="4">
        <v>43164</v>
      </c>
      <c r="I33" s="1" t="s">
        <v>135</v>
      </c>
      <c r="J33" s="7" t="s">
        <v>136</v>
      </c>
      <c r="K33" s="17">
        <v>1635</v>
      </c>
      <c r="L33" t="str">
        <f ca="1">+IF(TODAY()-ICETEX[[#This Row],[fecha_ultimo_movimiento]]&gt;360,"Inactivo","Activo")</f>
        <v>Inactivo</v>
      </c>
      <c r="M33" s="24">
        <f>+VLOOKUP(ICETEX[[#This Row],[fecha_ultimo_movimiento]],UVR!A:B,2,0)</f>
        <v>274.98270000000002</v>
      </c>
      <c r="N33" s="24">
        <v>90</v>
      </c>
      <c r="O33" t="s">
        <v>3265</v>
      </c>
    </row>
    <row r="34" spans="1:15" ht="15" thickBot="1">
      <c r="A34" s="6">
        <v>33</v>
      </c>
      <c r="B34" s="1" t="s">
        <v>137</v>
      </c>
      <c r="C34" s="1" t="s">
        <v>138</v>
      </c>
      <c r="D34" s="2">
        <v>83904563</v>
      </c>
      <c r="E34" s="1" t="s">
        <v>12</v>
      </c>
      <c r="F34" s="25">
        <v>35304.31</v>
      </c>
      <c r="G34" s="4">
        <v>44056</v>
      </c>
      <c r="H34" s="4">
        <v>42534</v>
      </c>
      <c r="I34" s="1" t="s">
        <v>139</v>
      </c>
      <c r="J34" s="7" t="s">
        <v>140</v>
      </c>
      <c r="K34" s="17">
        <v>1781</v>
      </c>
      <c r="L34" t="str">
        <f ca="1">+IF(TODAY()-ICETEX[[#This Row],[fecha_ultimo_movimiento]]&gt;360,"Inactivo","Activo")</f>
        <v>Inactivo</v>
      </c>
      <c r="M34" s="24">
        <f>+VLOOKUP(ICETEX[[#This Row],[fecha_ultimo_movimiento]],UVR!A:B,2,0)</f>
        <v>274.6574</v>
      </c>
      <c r="N34" s="24">
        <v>129</v>
      </c>
      <c r="O34" t="s">
        <v>3265</v>
      </c>
    </row>
    <row r="35" spans="1:15" ht="15" thickBot="1">
      <c r="A35" s="6">
        <v>34</v>
      </c>
      <c r="B35" s="1" t="s">
        <v>141</v>
      </c>
      <c r="C35" s="1" t="s">
        <v>142</v>
      </c>
      <c r="D35" s="2">
        <v>53112068</v>
      </c>
      <c r="E35" s="1" t="s">
        <v>12</v>
      </c>
      <c r="F35" s="25">
        <v>150610.81</v>
      </c>
      <c r="G35" s="4">
        <v>44519</v>
      </c>
      <c r="H35" s="4">
        <v>42759</v>
      </c>
      <c r="I35" s="1" t="s">
        <v>143</v>
      </c>
      <c r="J35" s="7" t="s">
        <v>144</v>
      </c>
      <c r="K35" s="17">
        <v>1318</v>
      </c>
      <c r="L35" t="str">
        <f ca="1">+IF(TODAY()-ICETEX[[#This Row],[fecha_ultimo_movimiento]]&gt;360,"Inactivo","Activo")</f>
        <v>Inactivo</v>
      </c>
      <c r="M35" s="24">
        <f>+VLOOKUP(ICETEX[[#This Row],[fecha_ultimo_movimiento]],UVR!A:B,2,0)</f>
        <v>287.85210000000001</v>
      </c>
      <c r="N35" s="24">
        <v>523</v>
      </c>
      <c r="O35" t="s">
        <v>3264</v>
      </c>
    </row>
    <row r="36" spans="1:15" ht="15" thickBot="1">
      <c r="A36" s="6">
        <v>35</v>
      </c>
      <c r="B36" s="1" t="s">
        <v>145</v>
      </c>
      <c r="C36" s="1" t="s">
        <v>146</v>
      </c>
      <c r="D36" s="2">
        <v>261170546</v>
      </c>
      <c r="E36" s="1" t="s">
        <v>45</v>
      </c>
      <c r="F36" s="25">
        <v>123991.57</v>
      </c>
      <c r="G36" s="4">
        <v>45156</v>
      </c>
      <c r="H36" s="4">
        <v>43107</v>
      </c>
      <c r="I36" s="1" t="s">
        <v>147</v>
      </c>
      <c r="J36" s="7" t="s">
        <v>148</v>
      </c>
      <c r="K36" s="17">
        <v>681</v>
      </c>
      <c r="L36" t="str">
        <f ca="1">+IF(TODAY()-ICETEX[[#This Row],[fecha_ultimo_movimiento]]&gt;360,"Inactivo","Activo")</f>
        <v>Inactivo</v>
      </c>
      <c r="M36" s="24">
        <f>+VLOOKUP(ICETEX[[#This Row],[fecha_ultimo_movimiento]],UVR!A:B,2,0)</f>
        <v>350.12180000000001</v>
      </c>
      <c r="N36" s="24">
        <v>354</v>
      </c>
      <c r="O36" t="s">
        <v>3264</v>
      </c>
    </row>
    <row r="37" spans="1:15" ht="15" thickBot="1">
      <c r="A37" s="6">
        <v>36</v>
      </c>
      <c r="B37" s="1" t="s">
        <v>149</v>
      </c>
      <c r="C37" s="1" t="s">
        <v>150</v>
      </c>
      <c r="D37" s="2">
        <v>11301947</v>
      </c>
      <c r="E37" s="1" t="s">
        <v>45</v>
      </c>
      <c r="F37" s="25">
        <v>129459.86</v>
      </c>
      <c r="G37" s="4">
        <v>44719</v>
      </c>
      <c r="H37" s="4">
        <v>42462</v>
      </c>
      <c r="I37" s="1" t="s">
        <v>151</v>
      </c>
      <c r="J37" s="7" t="s">
        <v>152</v>
      </c>
      <c r="K37" s="17">
        <v>1118</v>
      </c>
      <c r="L37" t="str">
        <f ca="1">+IF(TODAY()-ICETEX[[#This Row],[fecha_ultimo_movimiento]]&gt;360,"Inactivo","Activo")</f>
        <v>Inactivo</v>
      </c>
      <c r="M37" s="24">
        <f>+VLOOKUP(ICETEX[[#This Row],[fecha_ultimo_movimiento]],UVR!A:B,2,0)</f>
        <v>306.95240000000001</v>
      </c>
      <c r="N37" s="24">
        <v>422</v>
      </c>
      <c r="O37" t="s">
        <v>3264</v>
      </c>
    </row>
    <row r="38" spans="1:15" ht="15" thickBot="1">
      <c r="A38" s="6">
        <v>37</v>
      </c>
      <c r="B38" s="1" t="s">
        <v>153</v>
      </c>
      <c r="C38" s="1" t="s">
        <v>154</v>
      </c>
      <c r="D38" s="2">
        <v>111307430</v>
      </c>
      <c r="E38" s="1" t="s">
        <v>45</v>
      </c>
      <c r="F38" s="25">
        <v>20525.93</v>
      </c>
      <c r="G38" s="4">
        <v>44080</v>
      </c>
      <c r="H38" s="4">
        <v>42986</v>
      </c>
      <c r="I38" s="1" t="s">
        <v>155</v>
      </c>
      <c r="J38" s="7" t="s">
        <v>156</v>
      </c>
      <c r="K38" s="17">
        <v>1757</v>
      </c>
      <c r="L38" t="str">
        <f ca="1">+IF(TODAY()-ICETEX[[#This Row],[fecha_ultimo_movimiento]]&gt;360,"Inactivo","Activo")</f>
        <v>Inactivo</v>
      </c>
      <c r="M38" s="24">
        <f>+VLOOKUP(ICETEX[[#This Row],[fecha_ultimo_movimiento]],UVR!A:B,2,0)</f>
        <v>274.58999999999997</v>
      </c>
      <c r="N38" s="24">
        <v>75</v>
      </c>
      <c r="O38" t="s">
        <v>3265</v>
      </c>
    </row>
    <row r="39" spans="1:15" ht="15" thickBot="1">
      <c r="A39" s="6">
        <v>38</v>
      </c>
      <c r="B39" s="1" t="s">
        <v>157</v>
      </c>
      <c r="C39" s="1" t="s">
        <v>158</v>
      </c>
      <c r="D39" s="2">
        <v>53208176</v>
      </c>
      <c r="E39" s="1" t="s">
        <v>12</v>
      </c>
      <c r="F39" s="25">
        <v>183593.49</v>
      </c>
      <c r="G39" s="4">
        <v>44998</v>
      </c>
      <c r="H39" s="4">
        <v>42595</v>
      </c>
      <c r="I39" s="1" t="s">
        <v>159</v>
      </c>
      <c r="J39" s="7" t="s">
        <v>160</v>
      </c>
      <c r="K39" s="17">
        <v>839</v>
      </c>
      <c r="L39" t="str">
        <f ca="1">+IF(TODAY()-ICETEX[[#This Row],[fecha_ultimo_movimiento]]&gt;360,"Inactivo","Activo")</f>
        <v>Inactivo</v>
      </c>
      <c r="M39" s="24">
        <f>+VLOOKUP(ICETEX[[#This Row],[fecha_ultimo_movimiento]],UVR!A:B,2,0)</f>
        <v>335.14830000000001</v>
      </c>
      <c r="N39" s="24">
        <v>548</v>
      </c>
      <c r="O39" t="s">
        <v>3264</v>
      </c>
    </row>
    <row r="40" spans="1:15" ht="15" thickBot="1">
      <c r="A40" s="6">
        <v>39</v>
      </c>
      <c r="B40" s="1" t="s">
        <v>161</v>
      </c>
      <c r="C40" s="1" t="s">
        <v>162</v>
      </c>
      <c r="D40" s="2">
        <v>31317788</v>
      </c>
      <c r="E40" s="1" t="s">
        <v>12</v>
      </c>
      <c r="F40" s="25">
        <v>57414.76</v>
      </c>
      <c r="G40" s="4">
        <v>44952</v>
      </c>
      <c r="H40" s="4">
        <v>42495</v>
      </c>
      <c r="I40" s="1" t="s">
        <v>163</v>
      </c>
      <c r="J40" s="7" t="s">
        <v>164</v>
      </c>
      <c r="K40" s="17">
        <v>885</v>
      </c>
      <c r="L40" t="str">
        <f ca="1">+IF(TODAY()-ICETEX[[#This Row],[fecha_ultimo_movimiento]]&gt;360,"Inactivo","Activo")</f>
        <v>Inactivo</v>
      </c>
      <c r="M40" s="24">
        <f>+VLOOKUP(ICETEX[[#This Row],[fecha_ultimo_movimiento]],UVR!A:B,2,0)</f>
        <v>327.04950000000002</v>
      </c>
      <c r="N40" s="24">
        <v>176</v>
      </c>
      <c r="O40" t="s">
        <v>3265</v>
      </c>
    </row>
    <row r="41" spans="1:15" ht="15" thickBot="1">
      <c r="A41" s="6">
        <v>40</v>
      </c>
      <c r="B41" s="1" t="s">
        <v>165</v>
      </c>
      <c r="C41" s="1" t="s">
        <v>166</v>
      </c>
      <c r="D41" s="2">
        <v>53112204</v>
      </c>
      <c r="E41" s="1" t="s">
        <v>12</v>
      </c>
      <c r="F41" s="25">
        <v>204047.92</v>
      </c>
      <c r="G41" s="4">
        <v>45532</v>
      </c>
      <c r="H41" s="4">
        <v>42877</v>
      </c>
      <c r="I41" s="1" t="s">
        <v>167</v>
      </c>
      <c r="J41" s="7" t="s">
        <v>168</v>
      </c>
      <c r="K41" s="17">
        <v>305</v>
      </c>
      <c r="L41" t="str">
        <f ca="1">+IF(TODAY()-ICETEX[[#This Row],[fecha_ultimo_movimiento]]&gt;360,"Inactivo","Activo")</f>
        <v>Activo</v>
      </c>
      <c r="M41" s="24">
        <f>+VLOOKUP(ICETEX[[#This Row],[fecha_ultimo_movimiento]],UVR!A:B,2,0)</f>
        <v>375.40429999999998</v>
      </c>
      <c r="N41" s="24">
        <v>544</v>
      </c>
      <c r="O41" t="s">
        <v>3264</v>
      </c>
    </row>
    <row r="42" spans="1:15" ht="15" thickBot="1">
      <c r="A42" s="6">
        <v>41</v>
      </c>
      <c r="B42" s="1" t="s">
        <v>169</v>
      </c>
      <c r="C42" s="1" t="s">
        <v>170</v>
      </c>
      <c r="D42" s="2">
        <v>11303123</v>
      </c>
      <c r="E42" s="1" t="s">
        <v>45</v>
      </c>
      <c r="F42" s="25">
        <v>202287.08</v>
      </c>
      <c r="G42" s="4">
        <v>44987</v>
      </c>
      <c r="H42" s="4">
        <v>42568</v>
      </c>
      <c r="I42" s="1" t="s">
        <v>151</v>
      </c>
      <c r="J42" s="7" t="s">
        <v>171</v>
      </c>
      <c r="K42" s="17">
        <v>850</v>
      </c>
      <c r="L42" t="str">
        <f ca="1">+IF(TODAY()-ICETEX[[#This Row],[fecha_ultimo_movimiento]]&gt;360,"Inactivo","Activo")</f>
        <v>Inactivo</v>
      </c>
      <c r="M42" s="24">
        <f>+VLOOKUP(ICETEX[[#This Row],[fecha_ultimo_movimiento]],UVR!A:B,2,0)</f>
        <v>332.83330000000001</v>
      </c>
      <c r="N42" s="24">
        <v>608</v>
      </c>
      <c r="O42" t="s">
        <v>3264</v>
      </c>
    </row>
    <row r="43" spans="1:15" ht="15" thickBot="1">
      <c r="A43" s="6">
        <v>42</v>
      </c>
      <c r="B43" s="1" t="s">
        <v>172</v>
      </c>
      <c r="C43" s="1" t="s">
        <v>173</v>
      </c>
      <c r="D43" s="2">
        <v>65002030</v>
      </c>
      <c r="E43" s="1" t="s">
        <v>12</v>
      </c>
      <c r="F43" s="25">
        <v>133654.74</v>
      </c>
      <c r="G43" s="4">
        <v>43906</v>
      </c>
      <c r="H43" s="4">
        <v>42725</v>
      </c>
      <c r="I43" s="1" t="s">
        <v>13</v>
      </c>
      <c r="J43" s="7" t="s">
        <v>174</v>
      </c>
      <c r="K43" s="17">
        <v>1931</v>
      </c>
      <c r="L43" t="str">
        <f ca="1">+IF(TODAY()-ICETEX[[#This Row],[fecha_ultimo_movimiento]]&gt;360,"Inactivo","Activo")</f>
        <v>Inactivo</v>
      </c>
      <c r="M43" s="24">
        <f>+VLOOKUP(ICETEX[[#This Row],[fecha_ultimo_movimiento]],UVR!A:B,2,0)</f>
        <v>272.74759999999998</v>
      </c>
      <c r="N43" s="24">
        <v>490</v>
      </c>
      <c r="O43" t="s">
        <v>3264</v>
      </c>
    </row>
    <row r="44" spans="1:15" ht="15" thickBot="1">
      <c r="A44" s="6">
        <v>43</v>
      </c>
      <c r="B44" s="1" t="s">
        <v>175</v>
      </c>
      <c r="C44" s="1" t="s">
        <v>176</v>
      </c>
      <c r="D44" s="2">
        <v>53185079</v>
      </c>
      <c r="E44" s="1" t="s">
        <v>45</v>
      </c>
      <c r="F44" s="25">
        <v>216457.93</v>
      </c>
      <c r="G44" s="4">
        <v>44710</v>
      </c>
      <c r="H44" s="4">
        <v>43311</v>
      </c>
      <c r="I44" s="1" t="s">
        <v>177</v>
      </c>
      <c r="J44" s="7" t="s">
        <v>178</v>
      </c>
      <c r="K44" s="17">
        <v>1127</v>
      </c>
      <c r="L44" t="str">
        <f ca="1">+IF(TODAY()-ICETEX[[#This Row],[fecha_ultimo_movimiento]]&gt;360,"Inactivo","Activo")</f>
        <v>Inactivo</v>
      </c>
      <c r="M44" s="24">
        <f>+VLOOKUP(ICETEX[[#This Row],[fecha_ultimo_movimiento]],UVR!A:B,2,0)</f>
        <v>305.84739999999999</v>
      </c>
      <c r="N44" s="24">
        <v>708</v>
      </c>
      <c r="O44" t="s">
        <v>3264</v>
      </c>
    </row>
    <row r="45" spans="1:15" ht="15" thickBot="1">
      <c r="A45" s="6">
        <v>44</v>
      </c>
      <c r="B45" s="1" t="s">
        <v>179</v>
      </c>
      <c r="C45" s="1" t="s">
        <v>180</v>
      </c>
      <c r="D45" s="2">
        <v>74905380</v>
      </c>
      <c r="E45" s="1" t="s">
        <v>12</v>
      </c>
      <c r="F45" s="25">
        <v>194632.02</v>
      </c>
      <c r="G45" s="4">
        <v>44873</v>
      </c>
      <c r="H45" s="4">
        <v>43271</v>
      </c>
      <c r="I45" s="1" t="s">
        <v>181</v>
      </c>
      <c r="J45" s="7" t="s">
        <v>182</v>
      </c>
      <c r="K45" s="17">
        <v>964</v>
      </c>
      <c r="L45" t="str">
        <f ca="1">+IF(TODAY()-ICETEX[[#This Row],[fecha_ultimo_movimiento]]&gt;360,"Inactivo","Activo")</f>
        <v>Inactivo</v>
      </c>
      <c r="M45" s="24">
        <f>+VLOOKUP(ICETEX[[#This Row],[fecha_ultimo_movimiento]],UVR!A:B,2,0)</f>
        <v>320.13189999999997</v>
      </c>
      <c r="N45" s="24">
        <v>608</v>
      </c>
      <c r="O45" t="s">
        <v>3264</v>
      </c>
    </row>
    <row r="46" spans="1:15" ht="15" thickBot="1">
      <c r="A46" s="6">
        <v>45</v>
      </c>
      <c r="B46" s="1" t="s">
        <v>183</v>
      </c>
      <c r="C46" s="1" t="s">
        <v>184</v>
      </c>
      <c r="D46" s="2">
        <v>91406121</v>
      </c>
      <c r="E46" s="1" t="s">
        <v>45</v>
      </c>
      <c r="F46" s="25">
        <v>60986.23</v>
      </c>
      <c r="G46" s="4">
        <v>45525</v>
      </c>
      <c r="H46" s="4">
        <v>43061</v>
      </c>
      <c r="I46" s="1" t="s">
        <v>185</v>
      </c>
      <c r="J46" s="7" t="s">
        <v>186</v>
      </c>
      <c r="K46" s="17">
        <v>312</v>
      </c>
      <c r="L46" t="str">
        <f ca="1">+IF(TODAY()-ICETEX[[#This Row],[fecha_ultimo_movimiento]]&gt;360,"Inactivo","Activo")</f>
        <v>Activo</v>
      </c>
      <c r="M46" s="24">
        <f>+VLOOKUP(ICETEX[[#This Row],[fecha_ultimo_movimiento]],UVR!A:B,2,0)</f>
        <v>375.23500000000001</v>
      </c>
      <c r="N46" s="24">
        <v>163</v>
      </c>
      <c r="O46" t="s">
        <v>3264</v>
      </c>
    </row>
    <row r="47" spans="1:15" ht="15" thickBot="1">
      <c r="A47" s="6">
        <v>46</v>
      </c>
      <c r="B47" s="1" t="s">
        <v>187</v>
      </c>
      <c r="C47" s="1" t="s">
        <v>188</v>
      </c>
      <c r="D47" s="2">
        <v>61212866</v>
      </c>
      <c r="E47" s="1" t="s">
        <v>12</v>
      </c>
      <c r="F47" s="25">
        <v>52099.71</v>
      </c>
      <c r="G47" s="4">
        <v>45328</v>
      </c>
      <c r="H47" s="4">
        <v>42781</v>
      </c>
      <c r="I47" s="1" t="s">
        <v>189</v>
      </c>
      <c r="J47" s="7" t="s">
        <v>190</v>
      </c>
      <c r="K47" s="17">
        <v>509</v>
      </c>
      <c r="L47" t="str">
        <f ca="1">+IF(TODAY()-ICETEX[[#This Row],[fecha_ultimo_movimiento]]&gt;360,"Inactivo","Activo")</f>
        <v>Inactivo</v>
      </c>
      <c r="M47" s="24">
        <f>+VLOOKUP(ICETEX[[#This Row],[fecha_ultimo_movimiento]],UVR!A:B,2,0)</f>
        <v>359.78949999999998</v>
      </c>
      <c r="N47" s="24">
        <v>145</v>
      </c>
      <c r="O47" t="s">
        <v>3265</v>
      </c>
    </row>
    <row r="48" spans="1:15" ht="15" thickBot="1">
      <c r="A48" s="6">
        <v>47</v>
      </c>
      <c r="B48" s="1" t="s">
        <v>191</v>
      </c>
      <c r="C48" s="1" t="s">
        <v>192</v>
      </c>
      <c r="D48" s="2">
        <v>121143118</v>
      </c>
      <c r="E48" s="1" t="s">
        <v>45</v>
      </c>
      <c r="F48" s="25">
        <v>149672.65</v>
      </c>
      <c r="G48" s="4">
        <v>45088</v>
      </c>
      <c r="H48" s="4">
        <v>43385</v>
      </c>
      <c r="I48" s="1" t="s">
        <v>193</v>
      </c>
      <c r="J48" s="7" t="s">
        <v>194</v>
      </c>
      <c r="K48" s="17">
        <v>749</v>
      </c>
      <c r="L48" t="str">
        <f ca="1">+IF(TODAY()-ICETEX[[#This Row],[fecha_ultimo_movimiento]]&gt;360,"Inactivo","Activo")</f>
        <v>Inactivo</v>
      </c>
      <c r="M48" s="24">
        <f>+VLOOKUP(ICETEX[[#This Row],[fecha_ultimo_movimiento]],UVR!A:B,2,0)</f>
        <v>347.0641</v>
      </c>
      <c r="N48" s="24">
        <v>431</v>
      </c>
      <c r="O48" t="s">
        <v>3264</v>
      </c>
    </row>
    <row r="49" spans="1:15" ht="15" thickBot="1">
      <c r="A49" s="6">
        <v>48</v>
      </c>
      <c r="B49" s="1" t="s">
        <v>195</v>
      </c>
      <c r="C49" s="1" t="s">
        <v>196</v>
      </c>
      <c r="D49" s="2">
        <v>61104204</v>
      </c>
      <c r="E49" s="1" t="s">
        <v>12</v>
      </c>
      <c r="F49" s="25">
        <v>58987.53</v>
      </c>
      <c r="G49" s="4">
        <v>43847</v>
      </c>
      <c r="H49" s="4">
        <v>42874</v>
      </c>
      <c r="I49" s="1" t="s">
        <v>197</v>
      </c>
      <c r="J49" s="7" t="s">
        <v>198</v>
      </c>
      <c r="K49" s="17">
        <v>1990</v>
      </c>
      <c r="L49" t="str">
        <f ca="1">+IF(TODAY()-ICETEX[[#This Row],[fecha_ultimo_movimiento]]&gt;360,"Inactivo","Activo")</f>
        <v>Inactivo</v>
      </c>
      <c r="M49" s="24">
        <f>+VLOOKUP(ICETEX[[#This Row],[fecha_ultimo_movimiento]],UVR!A:B,2,0)</f>
        <v>270.88959999999997</v>
      </c>
      <c r="N49" s="24">
        <v>218</v>
      </c>
      <c r="O49" t="s">
        <v>3265</v>
      </c>
    </row>
    <row r="50" spans="1:15" ht="15" thickBot="1">
      <c r="A50" s="6">
        <v>49</v>
      </c>
      <c r="B50" s="1" t="s">
        <v>199</v>
      </c>
      <c r="C50" s="1" t="s">
        <v>200</v>
      </c>
      <c r="D50" s="2">
        <v>125107862</v>
      </c>
      <c r="E50" s="1" t="s">
        <v>12</v>
      </c>
      <c r="F50" s="25">
        <v>93834.99</v>
      </c>
      <c r="G50" s="4">
        <v>44953</v>
      </c>
      <c r="H50" s="4">
        <v>43122</v>
      </c>
      <c r="I50" s="1" t="s">
        <v>201</v>
      </c>
      <c r="J50" s="7" t="s">
        <v>202</v>
      </c>
      <c r="K50" s="17">
        <v>884</v>
      </c>
      <c r="L50" t="str">
        <f ca="1">+IF(TODAY()-ICETEX[[#This Row],[fecha_ultimo_movimiento]]&gt;360,"Inactivo","Activo")</f>
        <v>Inactivo</v>
      </c>
      <c r="M50" s="24">
        <f>+VLOOKUP(ICETEX[[#This Row],[fecha_ultimo_movimiento]],UVR!A:B,2,0)</f>
        <v>327.1816</v>
      </c>
      <c r="N50" s="24">
        <v>287</v>
      </c>
      <c r="O50" t="s">
        <v>3265</v>
      </c>
    </row>
    <row r="51" spans="1:15" ht="15" thickBot="1">
      <c r="A51" s="6">
        <v>50</v>
      </c>
      <c r="B51" s="1" t="s">
        <v>203</v>
      </c>
      <c r="C51" s="1" t="s">
        <v>204</v>
      </c>
      <c r="D51" s="2">
        <v>64208398</v>
      </c>
      <c r="E51" s="1" t="s">
        <v>12</v>
      </c>
      <c r="F51" s="25">
        <v>138138.78</v>
      </c>
      <c r="G51" s="4">
        <v>44077</v>
      </c>
      <c r="H51" s="4">
        <v>43161</v>
      </c>
      <c r="I51" s="1" t="s">
        <v>205</v>
      </c>
      <c r="J51" s="8" t="s">
        <v>206</v>
      </c>
      <c r="K51" s="17">
        <v>1760</v>
      </c>
      <c r="L51" t="str">
        <f ca="1">+IF(TODAY()-ICETEX[[#This Row],[fecha_ultimo_movimiento]]&gt;360,"Inactivo","Activo")</f>
        <v>Inactivo</v>
      </c>
      <c r="M51" s="24">
        <f>+VLOOKUP(ICETEX[[#This Row],[fecha_ultimo_movimiento]],UVR!A:B,2,0)</f>
        <v>274.58999999999997</v>
      </c>
      <c r="N51" s="24">
        <v>503</v>
      </c>
      <c r="O51" t="s">
        <v>3264</v>
      </c>
    </row>
    <row r="52" spans="1:15" ht="15" thickBot="1">
      <c r="A52" s="6">
        <v>51</v>
      </c>
      <c r="B52" s="1" t="s">
        <v>207</v>
      </c>
      <c r="C52" s="1" t="s">
        <v>208</v>
      </c>
      <c r="D52" s="2">
        <v>322078804</v>
      </c>
      <c r="E52" s="1" t="s">
        <v>45</v>
      </c>
      <c r="F52" s="25">
        <v>66527.97</v>
      </c>
      <c r="G52" s="4">
        <v>44742</v>
      </c>
      <c r="H52" s="4">
        <v>43053</v>
      </c>
      <c r="I52" s="1" t="s">
        <v>209</v>
      </c>
      <c r="J52" s="7" t="s">
        <v>210</v>
      </c>
      <c r="K52" s="17">
        <v>1095</v>
      </c>
      <c r="L52" t="str">
        <f ca="1">+IF(TODAY()-ICETEX[[#This Row],[fecha_ultimo_movimiento]]&gt;360,"Inactivo","Activo")</f>
        <v>Inactivo</v>
      </c>
      <c r="M52" s="24">
        <f>+VLOOKUP(ICETEX[[#This Row],[fecha_ultimo_movimiento]],UVR!A:B,2,0)</f>
        <v>309.22859999999997</v>
      </c>
      <c r="N52" s="24">
        <v>215</v>
      </c>
      <c r="O52" t="s">
        <v>3265</v>
      </c>
    </row>
    <row r="53" spans="1:15" ht="15" thickBot="1">
      <c r="A53" s="6">
        <v>52</v>
      </c>
      <c r="B53" s="1" t="s">
        <v>211</v>
      </c>
      <c r="C53" s="1" t="s">
        <v>212</v>
      </c>
      <c r="D53" s="2">
        <v>31309123</v>
      </c>
      <c r="E53" s="1" t="s">
        <v>45</v>
      </c>
      <c r="F53" s="25">
        <v>59399.93</v>
      </c>
      <c r="G53" s="4">
        <v>44381</v>
      </c>
      <c r="H53" s="4">
        <v>43066</v>
      </c>
      <c r="I53" s="1" t="s">
        <v>213</v>
      </c>
      <c r="J53" s="7" t="s">
        <v>214</v>
      </c>
      <c r="K53" s="17">
        <v>1456</v>
      </c>
      <c r="L53" t="str">
        <f ca="1">+IF(TODAY()-ICETEX[[#This Row],[fecha_ultimo_movimiento]]&gt;360,"Inactivo","Activo")</f>
        <v>Inactivo</v>
      </c>
      <c r="M53" s="24">
        <f>+VLOOKUP(ICETEX[[#This Row],[fecha_ultimo_movimiento]],UVR!A:B,2,0)</f>
        <v>283.66890000000001</v>
      </c>
      <c r="N53" s="24">
        <v>209</v>
      </c>
      <c r="O53" t="s">
        <v>3265</v>
      </c>
    </row>
    <row r="54" spans="1:15" ht="15" thickBot="1">
      <c r="A54" s="6">
        <v>53</v>
      </c>
      <c r="B54" s="1" t="s">
        <v>215</v>
      </c>
      <c r="C54" s="1" t="s">
        <v>216</v>
      </c>
      <c r="D54" s="2">
        <v>21200559</v>
      </c>
      <c r="E54" s="1" t="s">
        <v>12</v>
      </c>
      <c r="F54" s="25">
        <v>212595.11</v>
      </c>
      <c r="G54" s="4">
        <v>45117</v>
      </c>
      <c r="H54" s="4">
        <v>43127</v>
      </c>
      <c r="I54" s="1" t="s">
        <v>217</v>
      </c>
      <c r="J54" s="7" t="s">
        <v>218</v>
      </c>
      <c r="K54" s="17">
        <v>720</v>
      </c>
      <c r="L54" t="str">
        <f ca="1">+IF(TODAY()-ICETEX[[#This Row],[fecha_ultimo_movimiento]]&gt;360,"Inactivo","Activo")</f>
        <v>Inactivo</v>
      </c>
      <c r="M54" s="24">
        <f>+VLOOKUP(ICETEX[[#This Row],[fecha_ultimo_movimiento]],UVR!A:B,2,0)</f>
        <v>348.65660000000003</v>
      </c>
      <c r="N54" s="24">
        <v>610</v>
      </c>
      <c r="O54" t="s">
        <v>3264</v>
      </c>
    </row>
    <row r="55" spans="1:15" ht="15" thickBot="1">
      <c r="A55" s="6">
        <v>54</v>
      </c>
      <c r="B55" s="1" t="s">
        <v>219</v>
      </c>
      <c r="C55" s="1" t="s">
        <v>220</v>
      </c>
      <c r="D55" s="2">
        <v>104913912</v>
      </c>
      <c r="E55" s="1" t="s">
        <v>45</v>
      </c>
      <c r="F55" s="25">
        <v>35777.440000000002</v>
      </c>
      <c r="G55" s="4">
        <v>45383</v>
      </c>
      <c r="H55" s="4">
        <v>43061</v>
      </c>
      <c r="I55" s="1" t="s">
        <v>221</v>
      </c>
      <c r="J55" s="7" t="s">
        <v>222</v>
      </c>
      <c r="K55" s="17">
        <v>454</v>
      </c>
      <c r="L55" t="str">
        <f ca="1">+IF(TODAY()-ICETEX[[#This Row],[fecha_ultimo_movimiento]]&gt;360,"Inactivo","Activo")</f>
        <v>Inactivo</v>
      </c>
      <c r="M55" s="24">
        <f>+VLOOKUP(ICETEX[[#This Row],[fecha_ultimo_movimiento]],UVR!A:B,2,0)</f>
        <v>365.74110000000002</v>
      </c>
      <c r="N55" s="24">
        <v>98</v>
      </c>
      <c r="O55" t="s">
        <v>3265</v>
      </c>
    </row>
    <row r="56" spans="1:15" ht="15" thickBot="1">
      <c r="A56" s="6">
        <v>55</v>
      </c>
      <c r="B56" s="1" t="s">
        <v>223</v>
      </c>
      <c r="C56" s="1" t="s">
        <v>224</v>
      </c>
      <c r="D56" s="2">
        <v>271989756</v>
      </c>
      <c r="E56" s="1" t="s">
        <v>45</v>
      </c>
      <c r="F56" s="25">
        <v>40377.4</v>
      </c>
      <c r="G56" s="4">
        <v>44914</v>
      </c>
      <c r="H56" s="4">
        <v>42876</v>
      </c>
      <c r="I56" s="1" t="s">
        <v>225</v>
      </c>
      <c r="J56" s="7" t="s">
        <v>226</v>
      </c>
      <c r="K56" s="17">
        <v>923</v>
      </c>
      <c r="L56" t="str">
        <f ca="1">+IF(TODAY()-ICETEX[[#This Row],[fecha_ultimo_movimiento]]&gt;360,"Inactivo","Activo")</f>
        <v>Inactivo</v>
      </c>
      <c r="M56" s="24">
        <f>+VLOOKUP(ICETEX[[#This Row],[fecha_ultimo_movimiento]],UVR!A:B,2,0)</f>
        <v>323.4316</v>
      </c>
      <c r="N56" s="24">
        <v>125</v>
      </c>
      <c r="O56" t="s">
        <v>3265</v>
      </c>
    </row>
    <row r="57" spans="1:15" ht="15" thickBot="1">
      <c r="A57" s="6">
        <v>56</v>
      </c>
      <c r="B57" s="1" t="s">
        <v>227</v>
      </c>
      <c r="C57" s="1" t="s">
        <v>228</v>
      </c>
      <c r="D57" s="2">
        <v>111104785</v>
      </c>
      <c r="E57" s="1" t="s">
        <v>45</v>
      </c>
      <c r="F57" s="25">
        <v>69977.75</v>
      </c>
      <c r="G57" s="4">
        <v>45711</v>
      </c>
      <c r="H57" s="4">
        <v>42889</v>
      </c>
      <c r="I57" s="1" t="s">
        <v>13</v>
      </c>
      <c r="J57" s="7" t="s">
        <v>229</v>
      </c>
      <c r="K57" s="17">
        <v>126</v>
      </c>
      <c r="L57" t="str">
        <f ca="1">+IF(TODAY()-ICETEX[[#This Row],[fecha_ultimo_movimiento]]&gt;360,"Inactivo","Activo")</f>
        <v>Activo</v>
      </c>
      <c r="M57" s="24">
        <f>+VLOOKUP(ICETEX[[#This Row],[fecha_ultimo_movimiento]],UVR!A:B,2,0)</f>
        <v>380.0181</v>
      </c>
      <c r="N57" s="24">
        <v>184</v>
      </c>
      <c r="O57" t="s">
        <v>3264</v>
      </c>
    </row>
    <row r="58" spans="1:15" ht="15" thickBot="1">
      <c r="A58" s="6">
        <v>57</v>
      </c>
      <c r="B58" s="1" t="s">
        <v>230</v>
      </c>
      <c r="C58" s="1" t="s">
        <v>231</v>
      </c>
      <c r="D58" s="2">
        <v>42000398</v>
      </c>
      <c r="E58" s="1" t="s">
        <v>12</v>
      </c>
      <c r="F58" s="25">
        <v>101459.88</v>
      </c>
      <c r="G58" s="4">
        <v>44334</v>
      </c>
      <c r="H58" s="4">
        <v>43009</v>
      </c>
      <c r="I58" s="1" t="s">
        <v>147</v>
      </c>
      <c r="J58" s="7" t="s">
        <v>232</v>
      </c>
      <c r="K58" s="17">
        <v>1503</v>
      </c>
      <c r="L58" t="str">
        <f ca="1">+IF(TODAY()-ICETEX[[#This Row],[fecha_ultimo_movimiento]]&gt;360,"Inactivo","Activo")</f>
        <v>Inactivo</v>
      </c>
      <c r="M58" s="24">
        <f>+VLOOKUP(ICETEX[[#This Row],[fecha_ultimo_movimiento]],UVR!A:B,2,0)</f>
        <v>280.3931</v>
      </c>
      <c r="N58" s="24">
        <v>362</v>
      </c>
      <c r="O58" t="s">
        <v>3264</v>
      </c>
    </row>
    <row r="59" spans="1:15" ht="15" thickBot="1">
      <c r="A59" s="6">
        <v>58</v>
      </c>
      <c r="B59" s="1" t="s">
        <v>233</v>
      </c>
      <c r="C59" s="1" t="s">
        <v>234</v>
      </c>
      <c r="D59" s="2">
        <v>63104697</v>
      </c>
      <c r="E59" s="1" t="s">
        <v>12</v>
      </c>
      <c r="F59" s="25">
        <v>115288.62</v>
      </c>
      <c r="G59" s="4">
        <v>43943</v>
      </c>
      <c r="H59" s="4">
        <v>43397</v>
      </c>
      <c r="I59" s="1" t="s">
        <v>13</v>
      </c>
      <c r="J59" s="7" t="s">
        <v>235</v>
      </c>
      <c r="K59" s="17">
        <v>1894</v>
      </c>
      <c r="L59" t="str">
        <f ca="1">+IF(TODAY()-ICETEX[[#This Row],[fecha_ultimo_movimiento]]&gt;360,"Inactivo","Activo")</f>
        <v>Inactivo</v>
      </c>
      <c r="M59" s="24">
        <f>+VLOOKUP(ICETEX[[#This Row],[fecha_ultimo_movimiento]],UVR!A:B,2,0)</f>
        <v>274.8802</v>
      </c>
      <c r="N59" s="24">
        <v>419</v>
      </c>
      <c r="O59" t="s">
        <v>3264</v>
      </c>
    </row>
    <row r="60" spans="1:15" ht="15" thickBot="1">
      <c r="A60" s="6">
        <v>59</v>
      </c>
      <c r="B60" s="1" t="s">
        <v>236</v>
      </c>
      <c r="C60" s="1" t="s">
        <v>237</v>
      </c>
      <c r="D60" s="2">
        <v>21206676</v>
      </c>
      <c r="E60" s="1" t="s">
        <v>12</v>
      </c>
      <c r="F60" s="25">
        <v>73304.89</v>
      </c>
      <c r="G60" s="4">
        <v>45235</v>
      </c>
      <c r="H60" s="4">
        <v>42810</v>
      </c>
      <c r="I60" s="1" t="s">
        <v>238</v>
      </c>
      <c r="J60" s="7" t="s">
        <v>239</v>
      </c>
      <c r="K60" s="17">
        <v>602</v>
      </c>
      <c r="L60" t="str">
        <f ca="1">+IF(TODAY()-ICETEX[[#This Row],[fecha_ultimo_movimiento]]&gt;360,"Inactivo","Activo")</f>
        <v>Inactivo</v>
      </c>
      <c r="M60" s="24">
        <f>+VLOOKUP(ICETEX[[#This Row],[fecha_ultimo_movimiento]],UVR!A:B,2,0)</f>
        <v>355.45890000000003</v>
      </c>
      <c r="N60" s="24">
        <v>206</v>
      </c>
      <c r="O60" t="s">
        <v>3265</v>
      </c>
    </row>
    <row r="61" spans="1:15" ht="15" thickBot="1">
      <c r="A61" s="6">
        <v>60</v>
      </c>
      <c r="B61" s="1" t="s">
        <v>240</v>
      </c>
      <c r="C61" s="1" t="s">
        <v>241</v>
      </c>
      <c r="D61" s="2">
        <v>102301911</v>
      </c>
      <c r="E61" s="1" t="s">
        <v>12</v>
      </c>
      <c r="F61" s="25">
        <v>162263.01</v>
      </c>
      <c r="G61" s="4">
        <v>44560</v>
      </c>
      <c r="H61" s="4">
        <v>42422</v>
      </c>
      <c r="I61" s="1" t="s">
        <v>242</v>
      </c>
      <c r="J61" s="7" t="s">
        <v>243</v>
      </c>
      <c r="K61" s="17">
        <v>1277</v>
      </c>
      <c r="L61" t="str">
        <f ca="1">+IF(TODAY()-ICETEX[[#This Row],[fecha_ultimo_movimiento]]&gt;360,"Inactivo","Activo")</f>
        <v>Inactivo</v>
      </c>
      <c r="M61" s="24">
        <f>+VLOOKUP(ICETEX[[#This Row],[fecha_ultimo_movimiento]],UVR!A:B,2,0)</f>
        <v>288.5727</v>
      </c>
      <c r="N61" s="24">
        <v>562</v>
      </c>
      <c r="O61" t="s">
        <v>3264</v>
      </c>
    </row>
    <row r="62" spans="1:15" ht="15" thickBot="1">
      <c r="A62" s="6">
        <v>61</v>
      </c>
      <c r="B62" s="1" t="s">
        <v>244</v>
      </c>
      <c r="C62" s="1" t="s">
        <v>245</v>
      </c>
      <c r="D62" s="2">
        <v>72412435</v>
      </c>
      <c r="E62" s="1" t="s">
        <v>12</v>
      </c>
      <c r="F62" s="25">
        <v>114454.41</v>
      </c>
      <c r="G62" s="4">
        <v>44765</v>
      </c>
      <c r="H62" s="4">
        <v>43050</v>
      </c>
      <c r="I62" s="1" t="s">
        <v>246</v>
      </c>
      <c r="J62" s="8" t="s">
        <v>247</v>
      </c>
      <c r="K62" s="17">
        <v>1072</v>
      </c>
      <c r="L62" t="str">
        <f ca="1">+IF(TODAY()-ICETEX[[#This Row],[fecha_ultimo_movimiento]]&gt;360,"Inactivo","Activo")</f>
        <v>Inactivo</v>
      </c>
      <c r="M62" s="24">
        <f>+VLOOKUP(ICETEX[[#This Row],[fecha_ultimo_movimiento]],UVR!A:B,2,0)</f>
        <v>310.93259999999998</v>
      </c>
      <c r="N62" s="24">
        <v>368</v>
      </c>
      <c r="O62" t="s">
        <v>3264</v>
      </c>
    </row>
    <row r="63" spans="1:15" ht="15" thickBot="1">
      <c r="A63" s="6">
        <v>62</v>
      </c>
      <c r="B63" s="1" t="s">
        <v>248</v>
      </c>
      <c r="C63" s="1" t="s">
        <v>249</v>
      </c>
      <c r="D63" s="2">
        <v>61108161</v>
      </c>
      <c r="E63" s="1" t="s">
        <v>12</v>
      </c>
      <c r="F63" s="25">
        <v>131374.95000000001</v>
      </c>
      <c r="G63" s="4">
        <v>44683</v>
      </c>
      <c r="H63" s="4">
        <v>43264</v>
      </c>
      <c r="I63" s="1" t="s">
        <v>250</v>
      </c>
      <c r="J63" s="7" t="s">
        <v>251</v>
      </c>
      <c r="K63" s="17">
        <v>1154</v>
      </c>
      <c r="L63" t="str">
        <f ca="1">+IF(TODAY()-ICETEX[[#This Row],[fecha_ultimo_movimiento]]&gt;360,"Inactivo","Activo")</f>
        <v>Inactivo</v>
      </c>
      <c r="M63" s="24">
        <f>+VLOOKUP(ICETEX[[#This Row],[fecha_ultimo_movimiento]],UVR!A:B,2,0)</f>
        <v>302.82769999999999</v>
      </c>
      <c r="N63" s="24">
        <v>434</v>
      </c>
      <c r="O63" t="s">
        <v>3264</v>
      </c>
    </row>
    <row r="64" spans="1:15" ht="15" thickBot="1">
      <c r="A64" s="6">
        <v>63</v>
      </c>
      <c r="B64" s="1" t="s">
        <v>252</v>
      </c>
      <c r="C64" s="1" t="s">
        <v>253</v>
      </c>
      <c r="D64" s="2">
        <v>242272489</v>
      </c>
      <c r="E64" s="1" t="s">
        <v>12</v>
      </c>
      <c r="F64" s="25">
        <v>84749.51</v>
      </c>
      <c r="G64" s="4">
        <v>45008</v>
      </c>
      <c r="H64" s="4">
        <v>42707</v>
      </c>
      <c r="I64" s="1" t="s">
        <v>37</v>
      </c>
      <c r="J64" s="7" t="s">
        <v>254</v>
      </c>
      <c r="K64" s="17">
        <v>829</v>
      </c>
      <c r="L64" t="str">
        <f ca="1">+IF(TODAY()-ICETEX[[#This Row],[fecha_ultimo_movimiento]]&gt;360,"Inactivo","Activo")</f>
        <v>Inactivo</v>
      </c>
      <c r="M64" s="24">
        <f>+VLOOKUP(ICETEX[[#This Row],[fecha_ultimo_movimiento]],UVR!A:B,2,0)</f>
        <v>336.99970000000002</v>
      </c>
      <c r="N64" s="24">
        <v>251</v>
      </c>
      <c r="O64" t="s">
        <v>3265</v>
      </c>
    </row>
    <row r="65" spans="1:15" ht="15" thickBot="1">
      <c r="A65" s="6">
        <v>64</v>
      </c>
      <c r="B65" s="1" t="s">
        <v>255</v>
      </c>
      <c r="C65" s="1" t="s">
        <v>256</v>
      </c>
      <c r="D65" s="2">
        <v>53200019</v>
      </c>
      <c r="E65" s="1" t="s">
        <v>45</v>
      </c>
      <c r="F65" s="25">
        <v>137950.23000000001</v>
      </c>
      <c r="G65" s="4">
        <v>44698</v>
      </c>
      <c r="H65" s="4">
        <v>43216</v>
      </c>
      <c r="I65" s="1" t="s">
        <v>217</v>
      </c>
      <c r="J65" s="7" t="s">
        <v>257</v>
      </c>
      <c r="K65" s="17">
        <v>1139</v>
      </c>
      <c r="L65" t="str">
        <f ca="1">+IF(TODAY()-ICETEX[[#This Row],[fecha_ultimo_movimiento]]&gt;360,"Inactivo","Activo")</f>
        <v>Inactivo</v>
      </c>
      <c r="M65" s="24">
        <f>+VLOOKUP(ICETEX[[#This Row],[fecha_ultimo_movimiento]],UVR!A:B,2,0)</f>
        <v>304.38010000000003</v>
      </c>
      <c r="N65" s="24">
        <v>453</v>
      </c>
      <c r="O65" t="s">
        <v>3264</v>
      </c>
    </row>
    <row r="66" spans="1:15" ht="15" thickBot="1">
      <c r="A66" s="6">
        <v>65</v>
      </c>
      <c r="B66" s="1" t="s">
        <v>258</v>
      </c>
      <c r="C66" s="1" t="s">
        <v>259</v>
      </c>
      <c r="D66" s="2">
        <v>124100080</v>
      </c>
      <c r="E66" s="1" t="s">
        <v>45</v>
      </c>
      <c r="F66" s="25">
        <v>65177.32</v>
      </c>
      <c r="G66" s="4">
        <v>45412</v>
      </c>
      <c r="H66" s="4">
        <v>42535</v>
      </c>
      <c r="I66" s="1" t="s">
        <v>217</v>
      </c>
      <c r="J66" s="7" t="s">
        <v>260</v>
      </c>
      <c r="K66" s="17">
        <v>425</v>
      </c>
      <c r="L66" t="str">
        <f ca="1">+IF(TODAY()-ICETEX[[#This Row],[fecha_ultimo_movimiento]]&gt;360,"Inactivo","Activo")</f>
        <v>Inactivo</v>
      </c>
      <c r="M66" s="24">
        <f>+VLOOKUP(ICETEX[[#This Row],[fecha_ultimo_movimiento]],UVR!A:B,2,0)</f>
        <v>368.8202</v>
      </c>
      <c r="N66" s="24">
        <v>177</v>
      </c>
      <c r="O66" t="s">
        <v>3265</v>
      </c>
    </row>
    <row r="67" spans="1:15" ht="15" thickBot="1">
      <c r="A67" s="6">
        <v>66</v>
      </c>
      <c r="B67" s="1" t="s">
        <v>261</v>
      </c>
      <c r="C67" s="1" t="s">
        <v>262</v>
      </c>
      <c r="D67" s="2">
        <v>122244582</v>
      </c>
      <c r="E67" s="1" t="s">
        <v>12</v>
      </c>
      <c r="F67" s="25">
        <v>82681.009999999995</v>
      </c>
      <c r="G67" s="4">
        <v>45244</v>
      </c>
      <c r="H67" s="4">
        <v>42923</v>
      </c>
      <c r="I67" s="1" t="s">
        <v>263</v>
      </c>
      <c r="J67" s="7" t="s">
        <v>264</v>
      </c>
      <c r="K67" s="17">
        <v>593</v>
      </c>
      <c r="L67" t="str">
        <f ca="1">+IF(TODAY()-ICETEX[[#This Row],[fecha_ultimo_movimiento]]&gt;360,"Inactivo","Activo")</f>
        <v>Inactivo</v>
      </c>
      <c r="M67" s="24">
        <f>+VLOOKUP(ICETEX[[#This Row],[fecha_ultimo_movimiento]],UVR!A:B,2,0)</f>
        <v>356.01510000000002</v>
      </c>
      <c r="N67" s="24">
        <v>232</v>
      </c>
      <c r="O67" t="s">
        <v>3265</v>
      </c>
    </row>
    <row r="68" spans="1:15" ht="15" thickBot="1">
      <c r="A68" s="6">
        <v>67</v>
      </c>
      <c r="B68" s="1" t="s">
        <v>265</v>
      </c>
      <c r="C68" s="1" t="s">
        <v>266</v>
      </c>
      <c r="D68" s="2">
        <v>31310413</v>
      </c>
      <c r="E68" s="1" t="s">
        <v>45</v>
      </c>
      <c r="F68" s="25">
        <v>187629.61</v>
      </c>
      <c r="G68" s="4">
        <v>44953</v>
      </c>
      <c r="H68" s="4">
        <v>43425</v>
      </c>
      <c r="I68" s="1" t="s">
        <v>213</v>
      </c>
      <c r="J68" s="7" t="s">
        <v>267</v>
      </c>
      <c r="K68" s="17">
        <v>884</v>
      </c>
      <c r="L68" t="str">
        <f ca="1">+IF(TODAY()-ICETEX[[#This Row],[fecha_ultimo_movimiento]]&gt;360,"Inactivo","Activo")</f>
        <v>Inactivo</v>
      </c>
      <c r="M68" s="24">
        <f>+VLOOKUP(ICETEX[[#This Row],[fecha_ultimo_movimiento]],UVR!A:B,2,0)</f>
        <v>327.1816</v>
      </c>
      <c r="N68" s="24">
        <v>573</v>
      </c>
      <c r="O68" t="s">
        <v>3264</v>
      </c>
    </row>
    <row r="69" spans="1:15" ht="15" thickBot="1">
      <c r="A69" s="6">
        <v>68</v>
      </c>
      <c r="B69" s="1" t="s">
        <v>268</v>
      </c>
      <c r="C69" s="1" t="s">
        <v>269</v>
      </c>
      <c r="D69" s="2">
        <v>72401789</v>
      </c>
      <c r="E69" s="1" t="s">
        <v>45</v>
      </c>
      <c r="F69" s="25">
        <v>68506.55</v>
      </c>
      <c r="G69" s="4">
        <v>44085</v>
      </c>
      <c r="H69" s="4">
        <v>43353</v>
      </c>
      <c r="I69" s="1" t="s">
        <v>270</v>
      </c>
      <c r="J69" s="7" t="s">
        <v>271</v>
      </c>
      <c r="K69" s="17">
        <v>1752</v>
      </c>
      <c r="L69" t="str">
        <f ca="1">+IF(TODAY()-ICETEX[[#This Row],[fecha_ultimo_movimiento]]&gt;360,"Inactivo","Activo")</f>
        <v>Inactivo</v>
      </c>
      <c r="M69" s="24">
        <f>+VLOOKUP(ICETEX[[#This Row],[fecha_ultimo_movimiento]],UVR!A:B,2,0)</f>
        <v>274.58999999999997</v>
      </c>
      <c r="N69" s="24">
        <v>249</v>
      </c>
      <c r="O69" t="s">
        <v>3265</v>
      </c>
    </row>
    <row r="70" spans="1:15" ht="15" thickBot="1">
      <c r="A70" s="6">
        <v>69</v>
      </c>
      <c r="B70" s="1" t="s">
        <v>272</v>
      </c>
      <c r="C70" s="1" t="s">
        <v>273</v>
      </c>
      <c r="D70" s="2">
        <v>65301540</v>
      </c>
      <c r="E70" s="1" t="s">
        <v>45</v>
      </c>
      <c r="F70" s="25">
        <v>206523.74</v>
      </c>
      <c r="G70" s="4">
        <v>44733</v>
      </c>
      <c r="H70" s="4">
        <v>42894</v>
      </c>
      <c r="I70" s="1" t="s">
        <v>274</v>
      </c>
      <c r="J70" s="7" t="s">
        <v>275</v>
      </c>
      <c r="K70" s="17">
        <v>1104</v>
      </c>
      <c r="L70" t="str">
        <f ca="1">+IF(TODAY()-ICETEX[[#This Row],[fecha_ultimo_movimiento]]&gt;360,"Inactivo","Activo")</f>
        <v>Inactivo</v>
      </c>
      <c r="M70" s="24">
        <f>+VLOOKUP(ICETEX[[#This Row],[fecha_ultimo_movimiento]],UVR!A:B,2,0)</f>
        <v>308.45359999999999</v>
      </c>
      <c r="N70" s="24">
        <v>670</v>
      </c>
      <c r="O70" t="s">
        <v>3264</v>
      </c>
    </row>
    <row r="71" spans="1:15" ht="15" thickBot="1">
      <c r="A71" s="6">
        <v>70</v>
      </c>
      <c r="B71" s="1" t="s">
        <v>276</v>
      </c>
      <c r="C71" s="1" t="s">
        <v>277</v>
      </c>
      <c r="D71" s="2">
        <v>75901710</v>
      </c>
      <c r="E71" s="1" t="s">
        <v>45</v>
      </c>
      <c r="F71" s="25">
        <v>108879.91</v>
      </c>
      <c r="G71" s="4">
        <v>44145</v>
      </c>
      <c r="H71" s="4">
        <v>42515</v>
      </c>
      <c r="I71" s="1" t="s">
        <v>127</v>
      </c>
      <c r="J71" s="8" t="s">
        <v>278</v>
      </c>
      <c r="K71" s="17">
        <v>1692</v>
      </c>
      <c r="L71" t="str">
        <f ca="1">+IF(TODAY()-ICETEX[[#This Row],[fecha_ultimo_movimiento]]&gt;360,"Inactivo","Activo")</f>
        <v>Inactivo</v>
      </c>
      <c r="M71" s="24">
        <f>+VLOOKUP(ICETEX[[#This Row],[fecha_ultimo_movimiento]],UVR!A:B,2,0)</f>
        <v>275.29919999999998</v>
      </c>
      <c r="N71" s="24">
        <v>395</v>
      </c>
      <c r="O71" t="s">
        <v>3264</v>
      </c>
    </row>
    <row r="72" spans="1:15" ht="15" thickBot="1">
      <c r="A72" s="6">
        <v>71</v>
      </c>
      <c r="B72" s="1" t="s">
        <v>279</v>
      </c>
      <c r="C72" s="1" t="s">
        <v>280</v>
      </c>
      <c r="D72" s="2">
        <v>107000440</v>
      </c>
      <c r="E72" s="1" t="s">
        <v>12</v>
      </c>
      <c r="F72" s="25">
        <v>95494.39</v>
      </c>
      <c r="G72" s="4">
        <v>44907</v>
      </c>
      <c r="H72" s="4">
        <v>42987</v>
      </c>
      <c r="I72" s="1" t="s">
        <v>281</v>
      </c>
      <c r="J72" s="7" t="s">
        <v>282</v>
      </c>
      <c r="K72" s="17">
        <v>930</v>
      </c>
      <c r="L72" t="str">
        <f ca="1">+IF(TODAY()-ICETEX[[#This Row],[fecha_ultimo_movimiento]]&gt;360,"Inactivo","Activo")</f>
        <v>Inactivo</v>
      </c>
      <c r="M72" s="24">
        <f>+VLOOKUP(ICETEX[[#This Row],[fecha_ultimo_movimiento]],UVR!A:B,2,0)</f>
        <v>322.87979999999999</v>
      </c>
      <c r="N72" s="24">
        <v>296</v>
      </c>
      <c r="O72" t="s">
        <v>3265</v>
      </c>
    </row>
    <row r="73" spans="1:15" ht="15" thickBot="1">
      <c r="A73" s="6">
        <v>72</v>
      </c>
      <c r="B73" s="1" t="s">
        <v>283</v>
      </c>
      <c r="C73" s="1" t="s">
        <v>284</v>
      </c>
      <c r="D73" s="2">
        <v>107004459</v>
      </c>
      <c r="E73" s="1" t="s">
        <v>45</v>
      </c>
      <c r="F73" s="25">
        <v>165196.49</v>
      </c>
      <c r="G73" s="4">
        <v>45415</v>
      </c>
      <c r="H73" s="4">
        <v>42512</v>
      </c>
      <c r="I73" s="1" t="s">
        <v>54</v>
      </c>
      <c r="J73" s="7" t="s">
        <v>285</v>
      </c>
      <c r="K73" s="17">
        <v>422</v>
      </c>
      <c r="L73" t="str">
        <f ca="1">+IF(TODAY()-ICETEX[[#This Row],[fecha_ultimo_movimiento]]&gt;360,"Inactivo","Activo")</f>
        <v>Inactivo</v>
      </c>
      <c r="M73" s="24">
        <f>+VLOOKUP(ICETEX[[#This Row],[fecha_ultimo_movimiento]],UVR!A:B,2,0)</f>
        <v>369.07760000000002</v>
      </c>
      <c r="N73" s="24">
        <v>448</v>
      </c>
      <c r="O73" t="s">
        <v>3264</v>
      </c>
    </row>
    <row r="74" spans="1:15" ht="15" thickBot="1">
      <c r="A74" s="6">
        <v>73</v>
      </c>
      <c r="B74" s="1" t="s">
        <v>286</v>
      </c>
      <c r="C74" s="1" t="s">
        <v>287</v>
      </c>
      <c r="D74" s="2">
        <v>62101581</v>
      </c>
      <c r="E74" s="1" t="s">
        <v>12</v>
      </c>
      <c r="F74" s="25">
        <v>61242.94</v>
      </c>
      <c r="G74" s="4">
        <v>45022</v>
      </c>
      <c r="H74" s="4">
        <v>42524</v>
      </c>
      <c r="I74" s="1" t="s">
        <v>288</v>
      </c>
      <c r="J74" s="7" t="s">
        <v>289</v>
      </c>
      <c r="K74" s="17">
        <v>815</v>
      </c>
      <c r="L74" t="str">
        <f ca="1">+IF(TODAY()-ICETEX[[#This Row],[fecha_ultimo_movimiento]]&gt;360,"Inactivo","Activo")</f>
        <v>Inactivo</v>
      </c>
      <c r="M74" s="24">
        <f>+VLOOKUP(ICETEX[[#This Row],[fecha_ultimo_movimiento]],UVR!A:B,2,0)</f>
        <v>339.5147</v>
      </c>
      <c r="N74" s="24">
        <v>180</v>
      </c>
      <c r="O74" t="s">
        <v>3265</v>
      </c>
    </row>
    <row r="75" spans="1:15" ht="15" thickBot="1">
      <c r="A75" s="6">
        <v>74</v>
      </c>
      <c r="B75" s="1" t="s">
        <v>290</v>
      </c>
      <c r="C75" s="1" t="s">
        <v>291</v>
      </c>
      <c r="D75" s="2">
        <v>91910879</v>
      </c>
      <c r="E75" s="1" t="s">
        <v>45</v>
      </c>
      <c r="F75" s="25">
        <v>114657.4</v>
      </c>
      <c r="G75" s="4">
        <v>44975</v>
      </c>
      <c r="H75" s="4">
        <v>42611</v>
      </c>
      <c r="I75" s="1" t="s">
        <v>292</v>
      </c>
      <c r="J75" s="7" t="s">
        <v>293</v>
      </c>
      <c r="K75" s="17">
        <v>862</v>
      </c>
      <c r="L75" t="str">
        <f ca="1">+IF(TODAY()-ICETEX[[#This Row],[fecha_ultimo_movimiento]]&gt;360,"Inactivo","Activo")</f>
        <v>Inactivo</v>
      </c>
      <c r="M75" s="24">
        <f>+VLOOKUP(ICETEX[[#This Row],[fecha_ultimo_movimiento]],UVR!A:B,2,0)</f>
        <v>330.32600000000002</v>
      </c>
      <c r="N75" s="24">
        <v>347</v>
      </c>
      <c r="O75" t="s">
        <v>3264</v>
      </c>
    </row>
    <row r="76" spans="1:15" ht="15" thickBot="1">
      <c r="A76" s="6">
        <v>75</v>
      </c>
      <c r="B76" s="1" t="s">
        <v>294</v>
      </c>
      <c r="C76" s="1" t="s">
        <v>295</v>
      </c>
      <c r="D76" s="2">
        <v>81220524</v>
      </c>
      <c r="E76" s="1" t="s">
        <v>12</v>
      </c>
      <c r="F76" s="25">
        <v>188578.5</v>
      </c>
      <c r="G76" s="4">
        <v>44156</v>
      </c>
      <c r="H76" s="4">
        <v>42914</v>
      </c>
      <c r="I76" s="1" t="s">
        <v>296</v>
      </c>
      <c r="J76" s="7" t="s">
        <v>297</v>
      </c>
      <c r="K76" s="17">
        <v>1681</v>
      </c>
      <c r="L76" t="str">
        <f ca="1">+IF(TODAY()-ICETEX[[#This Row],[fecha_ultimo_movimiento]]&gt;360,"Inactivo","Activo")</f>
        <v>Inactivo</v>
      </c>
      <c r="M76" s="24">
        <f>+VLOOKUP(ICETEX[[#This Row],[fecha_ultimo_movimiento]],UVR!A:B,2,0)</f>
        <v>275.40800000000002</v>
      </c>
      <c r="N76" s="24">
        <v>685</v>
      </c>
      <c r="O76" t="s">
        <v>3264</v>
      </c>
    </row>
    <row r="77" spans="1:15" ht="15" thickBot="1">
      <c r="A77" s="6">
        <v>76</v>
      </c>
      <c r="B77" s="1" t="s">
        <v>298</v>
      </c>
      <c r="C77" s="1" t="s">
        <v>299</v>
      </c>
      <c r="D77" s="2">
        <v>123205054</v>
      </c>
      <c r="E77" s="1" t="s">
        <v>45</v>
      </c>
      <c r="F77" s="25">
        <v>148585.46</v>
      </c>
      <c r="G77" s="4">
        <v>43839</v>
      </c>
      <c r="H77" s="4">
        <v>42925</v>
      </c>
      <c r="I77" s="1" t="s">
        <v>193</v>
      </c>
      <c r="J77" s="7" t="s">
        <v>300</v>
      </c>
      <c r="K77" s="17">
        <v>1998</v>
      </c>
      <c r="L77" t="str">
        <f ca="1">+IF(TODAY()-ICETEX[[#This Row],[fecha_ultimo_movimiento]]&gt;360,"Inactivo","Activo")</f>
        <v>Inactivo</v>
      </c>
      <c r="M77" s="24">
        <f>+VLOOKUP(ICETEX[[#This Row],[fecha_ultimo_movimiento]],UVR!A:B,2,0)</f>
        <v>270.79180000000002</v>
      </c>
      <c r="N77" s="24">
        <v>549</v>
      </c>
      <c r="O77" t="s">
        <v>3264</v>
      </c>
    </row>
    <row r="78" spans="1:15" ht="15" thickBot="1">
      <c r="A78" s="6">
        <v>77</v>
      </c>
      <c r="B78" s="1" t="s">
        <v>301</v>
      </c>
      <c r="C78" s="1" t="s">
        <v>302</v>
      </c>
      <c r="D78" s="2">
        <v>101102182</v>
      </c>
      <c r="E78" s="1" t="s">
        <v>45</v>
      </c>
      <c r="F78" s="25">
        <v>72350.399999999994</v>
      </c>
      <c r="G78" s="4">
        <v>43981</v>
      </c>
      <c r="H78" s="4">
        <v>42821</v>
      </c>
      <c r="I78" s="1" t="s">
        <v>303</v>
      </c>
      <c r="J78" s="7" t="s">
        <v>304</v>
      </c>
      <c r="K78" s="17">
        <v>1856</v>
      </c>
      <c r="L78" t="str">
        <f ca="1">+IF(TODAY()-ICETEX[[#This Row],[fecha_ultimo_movimiento]]&gt;360,"Inactivo","Activo")</f>
        <v>Inactivo</v>
      </c>
      <c r="M78" s="24">
        <f>+VLOOKUP(ICETEX[[#This Row],[fecha_ultimo_movimiento]],UVR!A:B,2,0)</f>
        <v>276.29430000000002</v>
      </c>
      <c r="N78" s="24">
        <v>262</v>
      </c>
      <c r="O78" t="s">
        <v>3265</v>
      </c>
    </row>
    <row r="79" spans="1:15" ht="15" thickBot="1">
      <c r="A79" s="6">
        <v>78</v>
      </c>
      <c r="B79" s="1" t="s">
        <v>305</v>
      </c>
      <c r="C79" s="1" t="s">
        <v>306</v>
      </c>
      <c r="D79" s="2">
        <v>122206216</v>
      </c>
      <c r="E79" s="1" t="s">
        <v>12</v>
      </c>
      <c r="F79" s="25">
        <v>98234.62</v>
      </c>
      <c r="G79" s="4">
        <v>44101</v>
      </c>
      <c r="H79" s="4">
        <v>42683</v>
      </c>
      <c r="I79" s="1" t="s">
        <v>13</v>
      </c>
      <c r="J79" s="7" t="s">
        <v>307</v>
      </c>
      <c r="K79" s="17">
        <v>1736</v>
      </c>
      <c r="L79" t="str">
        <f ca="1">+IF(TODAY()-ICETEX[[#This Row],[fecha_ultimo_movimiento]]&gt;360,"Inactivo","Activo")</f>
        <v>Inactivo</v>
      </c>
      <c r="M79" s="24">
        <f>+VLOOKUP(ICETEX[[#This Row],[fecha_ultimo_movimiento]],UVR!A:B,2,0)</f>
        <v>274.57900000000001</v>
      </c>
      <c r="N79" s="24">
        <v>358</v>
      </c>
      <c r="O79" t="s">
        <v>3264</v>
      </c>
    </row>
    <row r="80" spans="1:15" ht="15" thickBot="1">
      <c r="A80" s="6">
        <v>79</v>
      </c>
      <c r="B80" s="1" t="s">
        <v>308</v>
      </c>
      <c r="C80" s="1" t="s">
        <v>309</v>
      </c>
      <c r="D80" s="2">
        <v>31309385</v>
      </c>
      <c r="E80" s="1" t="s">
        <v>12</v>
      </c>
      <c r="F80" s="25">
        <v>98506.99</v>
      </c>
      <c r="G80" s="4">
        <v>44468</v>
      </c>
      <c r="H80" s="4">
        <v>42550</v>
      </c>
      <c r="I80" s="1" t="s">
        <v>88</v>
      </c>
      <c r="J80" s="7" t="s">
        <v>310</v>
      </c>
      <c r="K80" s="17">
        <v>1369</v>
      </c>
      <c r="L80" t="str">
        <f ca="1">+IF(TODAY()-ICETEX[[#This Row],[fecha_ultimo_movimiento]]&gt;360,"Inactivo","Activo")</f>
        <v>Inactivo</v>
      </c>
      <c r="M80" s="24">
        <f>+VLOOKUP(ICETEX[[#This Row],[fecha_ultimo_movimiento]],UVR!A:B,2,0)</f>
        <v>286.07279999999997</v>
      </c>
      <c r="N80" s="24">
        <v>344</v>
      </c>
      <c r="O80" t="s">
        <v>3264</v>
      </c>
    </row>
    <row r="81" spans="1:15" ht="15" thickBot="1">
      <c r="A81" s="6">
        <v>80</v>
      </c>
      <c r="B81" s="1" t="s">
        <v>311</v>
      </c>
      <c r="C81" s="1" t="s">
        <v>312</v>
      </c>
      <c r="D81" s="2">
        <v>281371972</v>
      </c>
      <c r="E81" s="1" t="s">
        <v>12</v>
      </c>
      <c r="F81" s="25">
        <v>68385.56</v>
      </c>
      <c r="G81" s="4">
        <v>44137</v>
      </c>
      <c r="H81" s="4">
        <v>43149</v>
      </c>
      <c r="I81" s="1" t="s">
        <v>139</v>
      </c>
      <c r="J81" s="7" t="s">
        <v>313</v>
      </c>
      <c r="K81" s="17">
        <v>1700</v>
      </c>
      <c r="L81" t="str">
        <f ca="1">+IF(TODAY()-ICETEX[[#This Row],[fecha_ultimo_movimiento]]&gt;360,"Inactivo","Activo")</f>
        <v>Inactivo</v>
      </c>
      <c r="M81" s="24">
        <f>+VLOOKUP(ICETEX[[#This Row],[fecha_ultimo_movimiento]],UVR!A:B,2,0)</f>
        <v>275.07229999999998</v>
      </c>
      <c r="N81" s="24">
        <v>249</v>
      </c>
      <c r="O81" t="s">
        <v>3265</v>
      </c>
    </row>
    <row r="82" spans="1:15" ht="15" thickBot="1">
      <c r="A82" s="6">
        <v>81</v>
      </c>
      <c r="B82" s="1" t="s">
        <v>314</v>
      </c>
      <c r="C82" s="1" t="s">
        <v>315</v>
      </c>
      <c r="D82" s="2">
        <v>54001725</v>
      </c>
      <c r="E82" s="1" t="s">
        <v>12</v>
      </c>
      <c r="F82" s="25">
        <v>190088.04</v>
      </c>
      <c r="G82" s="4">
        <v>45487</v>
      </c>
      <c r="H82" s="4">
        <v>43411</v>
      </c>
      <c r="I82" s="1" t="s">
        <v>151</v>
      </c>
      <c r="J82" s="8" t="s">
        <v>316</v>
      </c>
      <c r="K82" s="17">
        <v>350</v>
      </c>
      <c r="L82" t="str">
        <f ca="1">+IF(TODAY()-ICETEX[[#This Row],[fecha_ultimo_movimiento]]&gt;360,"Inactivo","Activo")</f>
        <v>Activo</v>
      </c>
      <c r="M82" s="24">
        <f>+VLOOKUP(ICETEX[[#This Row],[fecha_ultimo_movimiento]],UVR!A:B,2,0)</f>
        <v>373.8399</v>
      </c>
      <c r="N82" s="24">
        <v>508</v>
      </c>
      <c r="O82" t="s">
        <v>3264</v>
      </c>
    </row>
    <row r="83" spans="1:15" ht="15" thickBot="1">
      <c r="A83" s="6">
        <v>82</v>
      </c>
      <c r="B83" s="1" t="s">
        <v>317</v>
      </c>
      <c r="C83" s="1" t="s">
        <v>318</v>
      </c>
      <c r="D83" s="2">
        <v>72413560</v>
      </c>
      <c r="E83" s="1" t="s">
        <v>12</v>
      </c>
      <c r="F83" s="25">
        <v>77932.98</v>
      </c>
      <c r="G83" s="4">
        <v>43970</v>
      </c>
      <c r="H83" s="4">
        <v>42497</v>
      </c>
      <c r="I83" s="1" t="s">
        <v>319</v>
      </c>
      <c r="J83" s="7" t="s">
        <v>320</v>
      </c>
      <c r="K83" s="17">
        <v>1867</v>
      </c>
      <c r="L83" t="str">
        <f ca="1">+IF(TODAY()-ICETEX[[#This Row],[fecha_ultimo_movimiento]]&gt;360,"Inactivo","Activo")</f>
        <v>Inactivo</v>
      </c>
      <c r="M83" s="24">
        <f>+VLOOKUP(ICETEX[[#This Row],[fecha_ultimo_movimiento]],UVR!A:B,2,0)</f>
        <v>276.13760000000002</v>
      </c>
      <c r="N83" s="24">
        <v>282</v>
      </c>
      <c r="O83" t="s">
        <v>3265</v>
      </c>
    </row>
    <row r="84" spans="1:15" ht="15" thickBot="1">
      <c r="A84" s="6">
        <v>83</v>
      </c>
      <c r="B84" s="1" t="s">
        <v>321</v>
      </c>
      <c r="C84" s="1" t="s">
        <v>322</v>
      </c>
      <c r="D84" s="2">
        <v>67015258</v>
      </c>
      <c r="E84" s="1" t="s">
        <v>12</v>
      </c>
      <c r="F84" s="25">
        <v>184856.42</v>
      </c>
      <c r="G84" s="4">
        <v>45129</v>
      </c>
      <c r="H84" s="4">
        <v>43429</v>
      </c>
      <c r="I84" s="1" t="s">
        <v>323</v>
      </c>
      <c r="J84" s="7" t="s">
        <v>324</v>
      </c>
      <c r="K84" s="17">
        <v>708</v>
      </c>
      <c r="L84" t="str">
        <f ca="1">+IF(TODAY()-ICETEX[[#This Row],[fecha_ultimo_movimiento]]&gt;360,"Inactivo","Activo")</f>
        <v>Inactivo</v>
      </c>
      <c r="M84" s="24">
        <f>+VLOOKUP(ICETEX[[#This Row],[fecha_ultimo_movimiento]],UVR!A:B,2,0)</f>
        <v>349.1422</v>
      </c>
      <c r="N84" s="24">
        <v>529</v>
      </c>
      <c r="O84" t="s">
        <v>3264</v>
      </c>
    </row>
    <row r="85" spans="1:15" ht="15" thickBot="1">
      <c r="A85" s="6">
        <v>84</v>
      </c>
      <c r="B85" s="1" t="s">
        <v>325</v>
      </c>
      <c r="C85" s="1" t="s">
        <v>326</v>
      </c>
      <c r="D85" s="2">
        <v>101115098</v>
      </c>
      <c r="E85" s="1" t="s">
        <v>45</v>
      </c>
      <c r="F85" s="25">
        <v>120630.51</v>
      </c>
      <c r="G85" s="4">
        <v>44234</v>
      </c>
      <c r="H85" s="4">
        <v>42600</v>
      </c>
      <c r="I85" s="1" t="s">
        <v>92</v>
      </c>
      <c r="J85" s="7" t="s">
        <v>327</v>
      </c>
      <c r="K85" s="17">
        <v>1603</v>
      </c>
      <c r="L85" t="str">
        <f ca="1">+IF(TODAY()-ICETEX[[#This Row],[fecha_ultimo_movimiento]]&gt;360,"Inactivo","Activo")</f>
        <v>Inactivo</v>
      </c>
      <c r="M85" s="24">
        <f>+VLOOKUP(ICETEX[[#This Row],[fecha_ultimo_movimiento]],UVR!A:B,2,0)</f>
        <v>275.63749999999999</v>
      </c>
      <c r="N85" s="24">
        <v>438</v>
      </c>
      <c r="O85" t="s">
        <v>3264</v>
      </c>
    </row>
    <row r="86" spans="1:15" ht="15" thickBot="1">
      <c r="A86" s="6">
        <v>85</v>
      </c>
      <c r="B86" s="1" t="s">
        <v>328</v>
      </c>
      <c r="C86" s="1" t="s">
        <v>329</v>
      </c>
      <c r="D86" s="2">
        <v>91215927</v>
      </c>
      <c r="E86" s="1" t="s">
        <v>45</v>
      </c>
      <c r="F86" s="25">
        <v>109666.92</v>
      </c>
      <c r="G86" s="4">
        <v>45635</v>
      </c>
      <c r="H86" s="4">
        <v>42801</v>
      </c>
      <c r="I86" s="1" t="s">
        <v>330</v>
      </c>
      <c r="J86" s="7" t="s">
        <v>331</v>
      </c>
      <c r="K86" s="17">
        <v>202</v>
      </c>
      <c r="L86" t="str">
        <f ca="1">+IF(TODAY()-ICETEX[[#This Row],[fecha_ultimo_movimiento]]&gt;360,"Inactivo","Activo")</f>
        <v>Activo</v>
      </c>
      <c r="M86" s="24">
        <f>+VLOOKUP(ICETEX[[#This Row],[fecha_ultimo_movimiento]],UVR!A:B,2,0)</f>
        <v>376.35019999999997</v>
      </c>
      <c r="N86" s="24">
        <v>291</v>
      </c>
      <c r="O86" t="s">
        <v>3264</v>
      </c>
    </row>
    <row r="87" spans="1:15" ht="15" thickBot="1">
      <c r="A87" s="6">
        <v>86</v>
      </c>
      <c r="B87" s="1" t="s">
        <v>332</v>
      </c>
      <c r="C87" s="1" t="s">
        <v>333</v>
      </c>
      <c r="D87" s="2">
        <v>101903679</v>
      </c>
      <c r="E87" s="1" t="s">
        <v>45</v>
      </c>
      <c r="F87" s="25">
        <v>95098.75</v>
      </c>
      <c r="G87" s="4">
        <v>44520</v>
      </c>
      <c r="H87" s="4">
        <v>42923</v>
      </c>
      <c r="I87" s="1" t="s">
        <v>334</v>
      </c>
      <c r="J87" s="8" t="s">
        <v>335</v>
      </c>
      <c r="K87" s="17">
        <v>1317</v>
      </c>
      <c r="L87" t="str">
        <f ca="1">+IF(TODAY()-ICETEX[[#This Row],[fecha_ultimo_movimiento]]&gt;360,"Inactivo","Activo")</f>
        <v>Inactivo</v>
      </c>
      <c r="M87" s="24">
        <f>+VLOOKUP(ICETEX[[#This Row],[fecha_ultimo_movimiento]],UVR!A:B,2,0)</f>
        <v>287.85309999999998</v>
      </c>
      <c r="N87" s="24">
        <v>330</v>
      </c>
      <c r="O87" t="s">
        <v>3264</v>
      </c>
    </row>
    <row r="88" spans="1:15" ht="15" thickBot="1">
      <c r="A88" s="6">
        <v>87</v>
      </c>
      <c r="B88" s="1" t="s">
        <v>336</v>
      </c>
      <c r="C88" s="1" t="s">
        <v>337</v>
      </c>
      <c r="D88" s="2">
        <v>125107532</v>
      </c>
      <c r="E88" s="1" t="s">
        <v>45</v>
      </c>
      <c r="F88" s="25">
        <v>183975.36</v>
      </c>
      <c r="G88" s="4">
        <v>45426</v>
      </c>
      <c r="H88" s="4">
        <v>42885</v>
      </c>
      <c r="I88" s="1" t="s">
        <v>54</v>
      </c>
      <c r="J88" s="7" t="s">
        <v>338</v>
      </c>
      <c r="K88" s="17">
        <v>411</v>
      </c>
      <c r="L88" t="str">
        <f ca="1">+IF(TODAY()-ICETEX[[#This Row],[fecha_ultimo_movimiento]]&gt;360,"Inactivo","Activo")</f>
        <v>Inactivo</v>
      </c>
      <c r="M88" s="24">
        <f>+VLOOKUP(ICETEX[[#This Row],[fecha_ultimo_movimiento]],UVR!A:B,2,0)</f>
        <v>370.02280000000002</v>
      </c>
      <c r="N88" s="24">
        <v>497</v>
      </c>
      <c r="O88" t="s">
        <v>3264</v>
      </c>
    </row>
    <row r="89" spans="1:15" ht="15" thickBot="1">
      <c r="A89" s="6">
        <v>88</v>
      </c>
      <c r="B89" s="1" t="s">
        <v>339</v>
      </c>
      <c r="C89" s="1" t="s">
        <v>340</v>
      </c>
      <c r="D89" s="2">
        <v>81206373</v>
      </c>
      <c r="E89" s="1" t="s">
        <v>12</v>
      </c>
      <c r="F89" s="25">
        <v>209641.53</v>
      </c>
      <c r="G89" s="4">
        <v>45249</v>
      </c>
      <c r="H89" s="4">
        <v>42551</v>
      </c>
      <c r="I89" s="1" t="s">
        <v>341</v>
      </c>
      <c r="J89" s="7" t="s">
        <v>342</v>
      </c>
      <c r="K89" s="17">
        <v>588</v>
      </c>
      <c r="L89" t="str">
        <f ca="1">+IF(TODAY()-ICETEX[[#This Row],[fecha_ultimo_movimiento]]&gt;360,"Inactivo","Activo")</f>
        <v>Inactivo</v>
      </c>
      <c r="M89" s="24">
        <f>+VLOOKUP(ICETEX[[#This Row],[fecha_ultimo_movimiento]],UVR!A:B,2,0)</f>
        <v>356.19560000000001</v>
      </c>
      <c r="N89" s="24">
        <v>589</v>
      </c>
      <c r="O89" t="s">
        <v>3264</v>
      </c>
    </row>
    <row r="90" spans="1:15" ht="15" thickBot="1">
      <c r="A90" s="6">
        <v>89</v>
      </c>
      <c r="B90" s="1" t="s">
        <v>343</v>
      </c>
      <c r="C90" s="1" t="s">
        <v>344</v>
      </c>
      <c r="D90" s="2">
        <v>102002757</v>
      </c>
      <c r="E90" s="1" t="s">
        <v>12</v>
      </c>
      <c r="F90" s="25">
        <v>37514</v>
      </c>
      <c r="G90" s="4">
        <v>45702</v>
      </c>
      <c r="H90" s="4">
        <v>43264</v>
      </c>
      <c r="I90" s="1" t="s">
        <v>96</v>
      </c>
      <c r="J90" s="7" t="s">
        <v>345</v>
      </c>
      <c r="K90" s="17">
        <v>135</v>
      </c>
      <c r="L90" t="str">
        <f ca="1">+IF(TODAY()-ICETEX[[#This Row],[fecha_ultimo_movimiento]]&gt;360,"Inactivo","Activo")</f>
        <v>Activo</v>
      </c>
      <c r="M90" s="24">
        <f>+VLOOKUP(ICETEX[[#This Row],[fecha_ultimo_movimiento]],UVR!A:B,2,0)</f>
        <v>378.94749999999999</v>
      </c>
      <c r="N90" s="24">
        <v>99</v>
      </c>
      <c r="O90" t="s">
        <v>3264</v>
      </c>
    </row>
    <row r="91" spans="1:15" ht="15" thickBot="1">
      <c r="A91" s="6">
        <v>90</v>
      </c>
      <c r="B91" s="1" t="s">
        <v>346</v>
      </c>
      <c r="C91" s="1" t="s">
        <v>347</v>
      </c>
      <c r="D91" s="2">
        <v>53111836</v>
      </c>
      <c r="E91" s="1" t="s">
        <v>45</v>
      </c>
      <c r="F91" s="25">
        <v>33826.04</v>
      </c>
      <c r="G91" s="4">
        <v>45100</v>
      </c>
      <c r="H91" s="4">
        <v>43004</v>
      </c>
      <c r="I91" s="1" t="s">
        <v>348</v>
      </c>
      <c r="J91" s="7" t="s">
        <v>349</v>
      </c>
      <c r="K91" s="17">
        <v>737</v>
      </c>
      <c r="L91" t="str">
        <f ca="1">+IF(TODAY()-ICETEX[[#This Row],[fecha_ultimo_movimiento]]&gt;360,"Inactivo","Activo")</f>
        <v>Inactivo</v>
      </c>
      <c r="M91" s="24">
        <f>+VLOOKUP(ICETEX[[#This Row],[fecha_ultimo_movimiento]],UVR!A:B,2,0)</f>
        <v>347.80990000000003</v>
      </c>
      <c r="N91" s="24">
        <v>97</v>
      </c>
      <c r="O91" t="s">
        <v>3265</v>
      </c>
    </row>
    <row r="92" spans="1:15" ht="15" thickBot="1">
      <c r="A92" s="6">
        <v>91</v>
      </c>
      <c r="B92" s="1" t="s">
        <v>350</v>
      </c>
      <c r="C92" s="1" t="s">
        <v>351</v>
      </c>
      <c r="D92" s="2">
        <v>107003023</v>
      </c>
      <c r="E92" s="1" t="s">
        <v>45</v>
      </c>
      <c r="F92" s="25">
        <v>22973.49</v>
      </c>
      <c r="G92" s="4">
        <v>44877</v>
      </c>
      <c r="H92" s="4">
        <v>42754</v>
      </c>
      <c r="I92" s="1" t="s">
        <v>54</v>
      </c>
      <c r="J92" s="7" t="s">
        <v>352</v>
      </c>
      <c r="K92" s="17">
        <v>960</v>
      </c>
      <c r="L92" t="str">
        <f ca="1">+IF(TODAY()-ICETEX[[#This Row],[fecha_ultimo_movimiento]]&gt;360,"Inactivo","Activo")</f>
        <v>Inactivo</v>
      </c>
      <c r="M92" s="24">
        <f>+VLOOKUP(ICETEX[[#This Row],[fecha_ultimo_movimiento]],UVR!A:B,2,0)</f>
        <v>320.5145</v>
      </c>
      <c r="N92" s="24">
        <v>72</v>
      </c>
      <c r="O92" t="s">
        <v>3265</v>
      </c>
    </row>
    <row r="93" spans="1:15" ht="15" thickBot="1">
      <c r="A93" s="6">
        <v>92</v>
      </c>
      <c r="B93" s="1" t="s">
        <v>353</v>
      </c>
      <c r="C93" s="1" t="s">
        <v>195</v>
      </c>
      <c r="D93" s="2">
        <v>272471674</v>
      </c>
      <c r="E93" s="1" t="s">
        <v>12</v>
      </c>
      <c r="F93" s="25">
        <v>167303.76999999999</v>
      </c>
      <c r="G93" s="4">
        <v>44255</v>
      </c>
      <c r="H93" s="4">
        <v>42726</v>
      </c>
      <c r="I93" s="1" t="s">
        <v>13</v>
      </c>
      <c r="J93" s="7" t="s">
        <v>354</v>
      </c>
      <c r="K93" s="17">
        <v>1582</v>
      </c>
      <c r="L93" t="str">
        <f ca="1">+IF(TODAY()-ICETEX[[#This Row],[fecha_ultimo_movimiento]]&gt;360,"Inactivo","Activo")</f>
        <v>Inactivo</v>
      </c>
      <c r="M93" s="24">
        <f>+VLOOKUP(ICETEX[[#This Row],[fecha_ultimo_movimiento]],UVR!A:B,2,0)</f>
        <v>276.43200000000002</v>
      </c>
      <c r="N93" s="24">
        <v>605</v>
      </c>
      <c r="O93" t="s">
        <v>3264</v>
      </c>
    </row>
    <row r="94" spans="1:15" ht="26.5" thickBot="1">
      <c r="A94" s="6">
        <v>93</v>
      </c>
      <c r="B94" s="1" t="s">
        <v>355</v>
      </c>
      <c r="C94" s="1" t="s">
        <v>356</v>
      </c>
      <c r="D94" s="2">
        <v>111909867</v>
      </c>
      <c r="E94" s="1" t="s">
        <v>45</v>
      </c>
      <c r="F94" s="25">
        <v>22499.39</v>
      </c>
      <c r="G94" s="4">
        <v>44927</v>
      </c>
      <c r="H94" s="4">
        <v>43447</v>
      </c>
      <c r="I94" s="1" t="s">
        <v>357</v>
      </c>
      <c r="J94" s="7" t="s">
        <v>358</v>
      </c>
      <c r="K94" s="17">
        <v>910</v>
      </c>
      <c r="L94" t="str">
        <f ca="1">+IF(TODAY()-ICETEX[[#This Row],[fecha_ultimo_movimiento]]&gt;360,"Inactivo","Activo")</f>
        <v>Inactivo</v>
      </c>
      <c r="M94" s="24">
        <f>+VLOOKUP(ICETEX[[#This Row],[fecha_ultimo_movimiento]],UVR!A:B,2,0)</f>
        <v>324.47359999999998</v>
      </c>
      <c r="N94" s="24">
        <v>69</v>
      </c>
      <c r="O94" t="s">
        <v>3265</v>
      </c>
    </row>
    <row r="95" spans="1:15" ht="15" thickBot="1">
      <c r="A95" s="6">
        <v>94</v>
      </c>
      <c r="B95" s="1" t="s">
        <v>359</v>
      </c>
      <c r="C95" s="1" t="s">
        <v>360</v>
      </c>
      <c r="D95" s="2">
        <v>73901929</v>
      </c>
      <c r="E95" s="1" t="s">
        <v>45</v>
      </c>
      <c r="F95" s="25">
        <v>138120.67000000001</v>
      </c>
      <c r="G95" s="4">
        <v>45153</v>
      </c>
      <c r="H95" s="4">
        <v>43115</v>
      </c>
      <c r="I95" s="1" t="s">
        <v>361</v>
      </c>
      <c r="J95" s="7" t="s">
        <v>362</v>
      </c>
      <c r="K95" s="17">
        <v>684</v>
      </c>
      <c r="L95" t="str">
        <f ca="1">+IF(TODAY()-ICETEX[[#This Row],[fecha_ultimo_movimiento]]&gt;360,"Inactivo","Activo")</f>
        <v>Inactivo</v>
      </c>
      <c r="M95" s="24">
        <f>+VLOOKUP(ICETEX[[#This Row],[fecha_ultimo_movimiento]],UVR!A:B,2,0)</f>
        <v>349.95280000000002</v>
      </c>
      <c r="N95" s="24">
        <v>395</v>
      </c>
      <c r="O95" t="s">
        <v>3264</v>
      </c>
    </row>
    <row r="96" spans="1:15" ht="15" thickBot="1">
      <c r="A96" s="6">
        <v>95</v>
      </c>
      <c r="B96" s="1" t="s">
        <v>363</v>
      </c>
      <c r="C96" s="1" t="s">
        <v>364</v>
      </c>
      <c r="D96" s="2">
        <v>267090536</v>
      </c>
      <c r="E96" s="1" t="s">
        <v>12</v>
      </c>
      <c r="F96" s="25">
        <v>92657.43</v>
      </c>
      <c r="G96" s="4">
        <v>45475</v>
      </c>
      <c r="H96" s="4">
        <v>43021</v>
      </c>
      <c r="I96" s="1" t="s">
        <v>13</v>
      </c>
      <c r="J96" s="8" t="s">
        <v>365</v>
      </c>
      <c r="K96" s="17">
        <v>362</v>
      </c>
      <c r="L96" t="str">
        <f ca="1">+IF(TODAY()-ICETEX[[#This Row],[fecha_ultimo_movimiento]]&gt;360,"Inactivo","Activo")</f>
        <v>Inactivo</v>
      </c>
      <c r="M96" s="24">
        <f>+VLOOKUP(ICETEX[[#This Row],[fecha_ultimo_movimiento]],UVR!A:B,2,0)</f>
        <v>373.19880000000001</v>
      </c>
      <c r="N96" s="24">
        <v>248</v>
      </c>
      <c r="O96" t="s">
        <v>3264</v>
      </c>
    </row>
    <row r="97" spans="1:15" ht="15" thickBot="1">
      <c r="A97" s="6">
        <v>96</v>
      </c>
      <c r="B97" s="1" t="s">
        <v>366</v>
      </c>
      <c r="C97" s="1" t="s">
        <v>367</v>
      </c>
      <c r="D97" s="2">
        <v>64103228</v>
      </c>
      <c r="E97" s="1" t="s">
        <v>45</v>
      </c>
      <c r="F97" s="25">
        <v>162968.54</v>
      </c>
      <c r="G97" s="4">
        <v>44943</v>
      </c>
      <c r="H97" s="4">
        <v>42671</v>
      </c>
      <c r="I97" s="1" t="s">
        <v>368</v>
      </c>
      <c r="J97" s="7" t="s">
        <v>369</v>
      </c>
      <c r="K97" s="17">
        <v>894</v>
      </c>
      <c r="L97" t="str">
        <f ca="1">+IF(TODAY()-ICETEX[[#This Row],[fecha_ultimo_movimiento]]&gt;360,"Inactivo","Activo")</f>
        <v>Inactivo</v>
      </c>
      <c r="M97" s="24">
        <f>+VLOOKUP(ICETEX[[#This Row],[fecha_ultimo_movimiento]],UVR!A:B,2,0)</f>
        <v>325.86270000000002</v>
      </c>
      <c r="N97" s="24">
        <v>500</v>
      </c>
      <c r="O97" t="s">
        <v>3264</v>
      </c>
    </row>
    <row r="98" spans="1:15" ht="15" thickBot="1">
      <c r="A98" s="6">
        <v>97</v>
      </c>
      <c r="B98" s="1" t="s">
        <v>370</v>
      </c>
      <c r="C98" s="1" t="s">
        <v>371</v>
      </c>
      <c r="D98" s="2">
        <v>92900985</v>
      </c>
      <c r="E98" s="1" t="s">
        <v>45</v>
      </c>
      <c r="F98" s="25">
        <v>60172.68</v>
      </c>
      <c r="G98" s="4">
        <v>44660</v>
      </c>
      <c r="H98" s="4">
        <v>43122</v>
      </c>
      <c r="I98" s="1" t="s">
        <v>372</v>
      </c>
      <c r="J98" s="7" t="s">
        <v>373</v>
      </c>
      <c r="K98" s="17">
        <v>1177</v>
      </c>
      <c r="L98" t="str">
        <f ca="1">+IF(TODAY()-ICETEX[[#This Row],[fecha_ultimo_movimiento]]&gt;360,"Inactivo","Activo")</f>
        <v>Inactivo</v>
      </c>
      <c r="M98" s="24">
        <f>+VLOOKUP(ICETEX[[#This Row],[fecha_ultimo_movimiento]],UVR!A:B,2,0)</f>
        <v>300.1841</v>
      </c>
      <c r="N98" s="24">
        <v>200</v>
      </c>
      <c r="O98" t="s">
        <v>3265</v>
      </c>
    </row>
    <row r="99" spans="1:15" ht="15" thickBot="1">
      <c r="A99" s="6">
        <v>98</v>
      </c>
      <c r="B99" s="1" t="s">
        <v>374</v>
      </c>
      <c r="C99" s="1" t="s">
        <v>375</v>
      </c>
      <c r="D99" s="2">
        <v>81225804</v>
      </c>
      <c r="E99" s="1" t="s">
        <v>45</v>
      </c>
      <c r="F99" s="25">
        <v>27288.23</v>
      </c>
      <c r="G99" s="4">
        <v>44668</v>
      </c>
      <c r="H99" s="4">
        <v>42614</v>
      </c>
      <c r="I99" s="1" t="s">
        <v>376</v>
      </c>
      <c r="J99" s="7" t="s">
        <v>377</v>
      </c>
      <c r="K99" s="17">
        <v>1169</v>
      </c>
      <c r="L99" t="str">
        <f ca="1">+IF(TODAY()-ICETEX[[#This Row],[fecha_ultimo_movimiento]]&gt;360,"Inactivo","Activo")</f>
        <v>Inactivo</v>
      </c>
      <c r="M99" s="24">
        <f>+VLOOKUP(ICETEX[[#This Row],[fecha_ultimo_movimiento]],UVR!A:B,2,0)</f>
        <v>301.32479999999998</v>
      </c>
      <c r="N99" s="24">
        <v>91</v>
      </c>
      <c r="O99" t="s">
        <v>3265</v>
      </c>
    </row>
    <row r="100" spans="1:15" ht="15" thickBot="1">
      <c r="A100" s="6">
        <v>99</v>
      </c>
      <c r="B100" s="1" t="s">
        <v>378</v>
      </c>
      <c r="C100" s="1" t="s">
        <v>379</v>
      </c>
      <c r="D100" s="2">
        <v>244172095</v>
      </c>
      <c r="E100" s="1" t="s">
        <v>45</v>
      </c>
      <c r="F100" s="25">
        <v>161024.73000000001</v>
      </c>
      <c r="G100" s="4">
        <v>44294</v>
      </c>
      <c r="H100" s="4">
        <v>42908</v>
      </c>
      <c r="I100" s="1" t="s">
        <v>37</v>
      </c>
      <c r="J100" s="7" t="s">
        <v>380</v>
      </c>
      <c r="K100" s="17">
        <v>1543</v>
      </c>
      <c r="L100" t="str">
        <f ca="1">+IF(TODAY()-ICETEX[[#This Row],[fecha_ultimo_movimiento]]&gt;360,"Inactivo","Activo")</f>
        <v>Inactivo</v>
      </c>
      <c r="M100" s="24">
        <f>+VLOOKUP(ICETEX[[#This Row],[fecha_ultimo_movimiento]],UVR!A:B,2,0)</f>
        <v>278.41030000000001</v>
      </c>
      <c r="N100" s="24">
        <v>578</v>
      </c>
      <c r="O100" t="s">
        <v>3264</v>
      </c>
    </row>
    <row r="101" spans="1:15" ht="15" thickBot="1">
      <c r="A101" s="6">
        <v>100</v>
      </c>
      <c r="B101" s="1" t="s">
        <v>381</v>
      </c>
      <c r="C101" s="1" t="s">
        <v>382</v>
      </c>
      <c r="D101" s="2">
        <v>21309379</v>
      </c>
      <c r="E101" s="1" t="s">
        <v>12</v>
      </c>
      <c r="F101" s="25">
        <v>137000.48000000001</v>
      </c>
      <c r="G101" s="4">
        <v>45204</v>
      </c>
      <c r="H101" s="4">
        <v>42655</v>
      </c>
      <c r="I101" s="1" t="s">
        <v>383</v>
      </c>
      <c r="J101" s="7" t="s">
        <v>384</v>
      </c>
      <c r="K101" s="17">
        <v>633</v>
      </c>
      <c r="L101" t="str">
        <f ca="1">+IF(TODAY()-ICETEX[[#This Row],[fecha_ultimo_movimiento]]&gt;360,"Inactivo","Activo")</f>
        <v>Inactivo</v>
      </c>
      <c r="M101" s="24">
        <f>+VLOOKUP(ICETEX[[#This Row],[fecha_ultimo_movimiento]],UVR!A:B,2,0)</f>
        <v>353.34199999999998</v>
      </c>
      <c r="N101" s="24">
        <v>388</v>
      </c>
      <c r="O101" t="s">
        <v>3264</v>
      </c>
    </row>
    <row r="102" spans="1:15" ht="15" thickBot="1">
      <c r="A102" s="6">
        <v>101</v>
      </c>
      <c r="B102" s="1" t="s">
        <v>385</v>
      </c>
      <c r="C102" s="1" t="s">
        <v>386</v>
      </c>
      <c r="D102" s="2">
        <v>75900148</v>
      </c>
      <c r="E102" s="1" t="s">
        <v>12</v>
      </c>
      <c r="F102" s="25">
        <v>113805.64</v>
      </c>
      <c r="G102" s="4">
        <v>45286</v>
      </c>
      <c r="H102" s="4">
        <v>43431</v>
      </c>
      <c r="I102" s="1" t="s">
        <v>127</v>
      </c>
      <c r="J102" s="7" t="s">
        <v>387</v>
      </c>
      <c r="K102" s="17">
        <v>551</v>
      </c>
      <c r="L102" t="str">
        <f ca="1">+IF(TODAY()-ICETEX[[#This Row],[fecha_ultimo_movimiento]]&gt;360,"Inactivo","Activo")</f>
        <v>Inactivo</v>
      </c>
      <c r="M102" s="24">
        <f>+VLOOKUP(ICETEX[[#This Row],[fecha_ultimo_movimiento]],UVR!A:B,2,0)</f>
        <v>357.5616</v>
      </c>
      <c r="N102" s="24">
        <v>318</v>
      </c>
      <c r="O102" t="s">
        <v>3265</v>
      </c>
    </row>
    <row r="103" spans="1:15" ht="15" thickBot="1">
      <c r="A103" s="6">
        <v>102</v>
      </c>
      <c r="B103" s="1" t="s">
        <v>388</v>
      </c>
      <c r="C103" s="1" t="s">
        <v>389</v>
      </c>
      <c r="D103" s="2">
        <v>82901635</v>
      </c>
      <c r="E103" s="1" t="s">
        <v>45</v>
      </c>
      <c r="F103" s="25">
        <v>180091.75</v>
      </c>
      <c r="G103" s="4">
        <v>44769</v>
      </c>
      <c r="H103" s="4">
        <v>42535</v>
      </c>
      <c r="I103" s="1" t="s">
        <v>390</v>
      </c>
      <c r="J103" s="7" t="s">
        <v>391</v>
      </c>
      <c r="K103" s="17">
        <v>1068</v>
      </c>
      <c r="L103" t="str">
        <f ca="1">+IF(TODAY()-ICETEX[[#This Row],[fecha_ultimo_movimiento]]&gt;360,"Inactivo","Activo")</f>
        <v>Inactivo</v>
      </c>
      <c r="M103" s="24">
        <f>+VLOOKUP(ICETEX[[#This Row],[fecha_ultimo_movimiento]],UVR!A:B,2,0)</f>
        <v>311.13679999999999</v>
      </c>
      <c r="N103" s="24">
        <v>579</v>
      </c>
      <c r="O103" t="s">
        <v>3264</v>
      </c>
    </row>
    <row r="104" spans="1:15" ht="15" thickBot="1">
      <c r="A104" s="6">
        <v>103</v>
      </c>
      <c r="B104" s="1" t="s">
        <v>392</v>
      </c>
      <c r="C104" s="1" t="s">
        <v>393</v>
      </c>
      <c r="D104" s="2">
        <v>31902876</v>
      </c>
      <c r="E104" s="1" t="s">
        <v>45</v>
      </c>
      <c r="F104" s="25">
        <v>17964.41</v>
      </c>
      <c r="G104" s="4">
        <v>44080</v>
      </c>
      <c r="H104" s="4">
        <v>42499</v>
      </c>
      <c r="I104" s="1" t="s">
        <v>213</v>
      </c>
      <c r="J104" s="7" t="s">
        <v>394</v>
      </c>
      <c r="K104" s="17">
        <v>1757</v>
      </c>
      <c r="L104" t="str">
        <f ca="1">+IF(TODAY()-ICETEX[[#This Row],[fecha_ultimo_movimiento]]&gt;360,"Inactivo","Activo")</f>
        <v>Inactivo</v>
      </c>
      <c r="M104" s="24">
        <f>+VLOOKUP(ICETEX[[#This Row],[fecha_ultimo_movimiento]],UVR!A:B,2,0)</f>
        <v>274.58999999999997</v>
      </c>
      <c r="N104" s="24">
        <v>65</v>
      </c>
      <c r="O104" t="s">
        <v>3265</v>
      </c>
    </row>
    <row r="105" spans="1:15" ht="26.5" thickBot="1">
      <c r="A105" s="6">
        <v>104</v>
      </c>
      <c r="B105" s="1" t="s">
        <v>395</v>
      </c>
      <c r="C105" s="1" t="s">
        <v>396</v>
      </c>
      <c r="D105" s="2">
        <v>111904998</v>
      </c>
      <c r="E105" s="1" t="s">
        <v>12</v>
      </c>
      <c r="F105" s="25">
        <v>87468.39</v>
      </c>
      <c r="G105" s="4">
        <v>44972</v>
      </c>
      <c r="H105" s="4">
        <v>43188</v>
      </c>
      <c r="I105" s="1" t="s">
        <v>397</v>
      </c>
      <c r="J105" s="7" t="s">
        <v>398</v>
      </c>
      <c r="K105" s="17">
        <v>865</v>
      </c>
      <c r="L105" t="str">
        <f ca="1">+IF(TODAY()-ICETEX[[#This Row],[fecha_ultimo_movimiento]]&gt;360,"Inactivo","Activo")</f>
        <v>Inactivo</v>
      </c>
      <c r="M105" s="24">
        <f>+VLOOKUP(ICETEX[[#This Row],[fecha_ultimo_movimiento]],UVR!A:B,2,0)</f>
        <v>329.7022</v>
      </c>
      <c r="N105" s="24">
        <v>265</v>
      </c>
      <c r="O105" t="s">
        <v>3265</v>
      </c>
    </row>
    <row r="106" spans="1:15" ht="15" thickBot="1">
      <c r="A106" s="6">
        <v>105</v>
      </c>
      <c r="B106" s="1" t="s">
        <v>399</v>
      </c>
      <c r="C106" s="1" t="s">
        <v>400</v>
      </c>
      <c r="D106" s="2">
        <v>63112906</v>
      </c>
      <c r="E106" s="1" t="s">
        <v>12</v>
      </c>
      <c r="F106" s="25">
        <v>198269.22</v>
      </c>
      <c r="G106" s="4">
        <v>44728</v>
      </c>
      <c r="H106" s="4">
        <v>42371</v>
      </c>
      <c r="I106" s="1" t="s">
        <v>401</v>
      </c>
      <c r="J106" s="7" t="s">
        <v>402</v>
      </c>
      <c r="K106" s="17">
        <v>1109</v>
      </c>
      <c r="L106" t="str">
        <f ca="1">+IF(TODAY()-ICETEX[[#This Row],[fecha_ultimo_movimiento]]&gt;360,"Inactivo","Activo")</f>
        <v>Inactivo</v>
      </c>
      <c r="M106" s="24">
        <f>+VLOOKUP(ICETEX[[#This Row],[fecha_ultimo_movimiento]],UVR!A:B,2,0)</f>
        <v>308.02390000000003</v>
      </c>
      <c r="N106" s="24">
        <v>644</v>
      </c>
      <c r="O106" t="s">
        <v>3264</v>
      </c>
    </row>
    <row r="107" spans="1:15" ht="15" thickBot="1">
      <c r="A107" s="6">
        <v>106</v>
      </c>
      <c r="B107" s="1" t="s">
        <v>403</v>
      </c>
      <c r="C107" s="1" t="s">
        <v>404</v>
      </c>
      <c r="D107" s="2">
        <v>21000021</v>
      </c>
      <c r="E107" s="1" t="s">
        <v>45</v>
      </c>
      <c r="F107" s="25">
        <v>21270.97</v>
      </c>
      <c r="G107" s="4">
        <v>44984</v>
      </c>
      <c r="H107" s="4">
        <v>42756</v>
      </c>
      <c r="I107" s="1" t="s">
        <v>383</v>
      </c>
      <c r="J107" s="7" t="s">
        <v>405</v>
      </c>
      <c r="K107" s="17">
        <v>853</v>
      </c>
      <c r="L107" t="str">
        <f ca="1">+IF(TODAY()-ICETEX[[#This Row],[fecha_ultimo_movimiento]]&gt;360,"Inactivo","Activo")</f>
        <v>Inactivo</v>
      </c>
      <c r="M107" s="24">
        <f>+VLOOKUP(ICETEX[[#This Row],[fecha_ultimo_movimiento]],UVR!A:B,2,0)</f>
        <v>332.2047</v>
      </c>
      <c r="N107" s="24">
        <v>64</v>
      </c>
      <c r="O107" t="s">
        <v>3265</v>
      </c>
    </row>
    <row r="108" spans="1:15" ht="15" thickBot="1">
      <c r="A108" s="6">
        <v>107</v>
      </c>
      <c r="B108" s="1" t="s">
        <v>406</v>
      </c>
      <c r="C108" s="1" t="s">
        <v>407</v>
      </c>
      <c r="D108" s="2">
        <v>21907315</v>
      </c>
      <c r="E108" s="1" t="s">
        <v>12</v>
      </c>
      <c r="F108" s="25">
        <v>87386.62</v>
      </c>
      <c r="G108" s="4">
        <v>44545</v>
      </c>
      <c r="H108" s="4">
        <v>42995</v>
      </c>
      <c r="I108" s="1" t="s">
        <v>84</v>
      </c>
      <c r="J108" s="7" t="s">
        <v>408</v>
      </c>
      <c r="K108" s="17">
        <v>1292</v>
      </c>
      <c r="L108" t="str">
        <f ca="1">+IF(TODAY()-ICETEX[[#This Row],[fecha_ultimo_movimiento]]&gt;360,"Inactivo","Activo")</f>
        <v>Inactivo</v>
      </c>
      <c r="M108" s="24">
        <f>+VLOOKUP(ICETEX[[#This Row],[fecha_ultimo_movimiento]],UVR!A:B,2,0)</f>
        <v>287.87709999999998</v>
      </c>
      <c r="N108" s="24">
        <v>304</v>
      </c>
      <c r="O108" t="s">
        <v>3265</v>
      </c>
    </row>
    <row r="109" spans="1:15" ht="15" thickBot="1">
      <c r="A109" s="6">
        <v>108</v>
      </c>
      <c r="B109" s="1" t="s">
        <v>409</v>
      </c>
      <c r="C109" s="1" t="s">
        <v>410</v>
      </c>
      <c r="D109" s="2">
        <v>92902271</v>
      </c>
      <c r="E109" s="1" t="s">
        <v>12</v>
      </c>
      <c r="F109" s="25">
        <v>76723.42</v>
      </c>
      <c r="G109" s="4">
        <v>44683</v>
      </c>
      <c r="H109" s="4">
        <v>43446</v>
      </c>
      <c r="I109" s="1" t="s">
        <v>411</v>
      </c>
      <c r="J109" s="7" t="s">
        <v>412</v>
      </c>
      <c r="K109" s="17">
        <v>1154</v>
      </c>
      <c r="L109" t="str">
        <f ca="1">+IF(TODAY()-ICETEX[[#This Row],[fecha_ultimo_movimiento]]&gt;360,"Inactivo","Activo")</f>
        <v>Inactivo</v>
      </c>
      <c r="M109" s="24">
        <f>+VLOOKUP(ICETEX[[#This Row],[fecha_ultimo_movimiento]],UVR!A:B,2,0)</f>
        <v>302.82769999999999</v>
      </c>
      <c r="N109" s="24">
        <v>253</v>
      </c>
      <c r="O109" t="s">
        <v>3265</v>
      </c>
    </row>
    <row r="110" spans="1:15" ht="15" thickBot="1">
      <c r="A110" s="6">
        <v>109</v>
      </c>
      <c r="B110" s="1" t="s">
        <v>413</v>
      </c>
      <c r="C110" s="1" t="s">
        <v>414</v>
      </c>
      <c r="D110" s="2">
        <v>211170101</v>
      </c>
      <c r="E110" s="1" t="s">
        <v>12</v>
      </c>
      <c r="F110" s="25">
        <v>102341.75</v>
      </c>
      <c r="G110" s="4">
        <v>45211</v>
      </c>
      <c r="H110" s="4">
        <v>42953</v>
      </c>
      <c r="I110" s="1" t="s">
        <v>415</v>
      </c>
      <c r="J110" s="7" t="s">
        <v>416</v>
      </c>
      <c r="K110" s="17">
        <v>626</v>
      </c>
      <c r="L110" t="str">
        <f ca="1">+IF(TODAY()-ICETEX[[#This Row],[fecha_ultimo_movimiento]]&gt;360,"Inactivo","Activo")</f>
        <v>Inactivo</v>
      </c>
      <c r="M110" s="24">
        <f>+VLOOKUP(ICETEX[[#This Row],[fecha_ultimo_movimiento]],UVR!A:B,2,0)</f>
        <v>353.91759999999999</v>
      </c>
      <c r="N110" s="24">
        <v>289</v>
      </c>
      <c r="O110" t="s">
        <v>3265</v>
      </c>
    </row>
    <row r="111" spans="1:15" ht="15" thickBot="1">
      <c r="A111" s="6">
        <v>110</v>
      </c>
      <c r="B111" s="1" t="s">
        <v>417</v>
      </c>
      <c r="C111" s="1" t="s">
        <v>418</v>
      </c>
      <c r="D111" s="2">
        <v>122038442</v>
      </c>
      <c r="E111" s="1" t="s">
        <v>12</v>
      </c>
      <c r="F111" s="25">
        <v>58070.45</v>
      </c>
      <c r="G111" s="4">
        <v>45539</v>
      </c>
      <c r="H111" s="4">
        <v>42374</v>
      </c>
      <c r="I111" s="1" t="s">
        <v>419</v>
      </c>
      <c r="J111" s="7" t="s">
        <v>420</v>
      </c>
      <c r="K111" s="17">
        <v>298</v>
      </c>
      <c r="L111" t="str">
        <f ca="1">+IF(TODAY()-ICETEX[[#This Row],[fecha_ultimo_movimiento]]&gt;360,"Inactivo","Activo")</f>
        <v>Activo</v>
      </c>
      <c r="M111" s="24">
        <f>+VLOOKUP(ICETEX[[#This Row],[fecha_ultimo_movimiento]],UVR!A:B,2,0)</f>
        <v>375.57369999999997</v>
      </c>
      <c r="N111" s="24">
        <v>155</v>
      </c>
      <c r="O111" t="s">
        <v>3264</v>
      </c>
    </row>
    <row r="112" spans="1:15" ht="15" thickBot="1">
      <c r="A112" s="6">
        <v>111</v>
      </c>
      <c r="B112" s="1" t="s">
        <v>421</v>
      </c>
      <c r="C112" s="1" t="s">
        <v>422</v>
      </c>
      <c r="D112" s="2">
        <v>111313000</v>
      </c>
      <c r="E112" s="1" t="s">
        <v>12</v>
      </c>
      <c r="F112" s="25">
        <v>76435.199999999997</v>
      </c>
      <c r="G112" s="4">
        <v>45288</v>
      </c>
      <c r="H112" s="4">
        <v>42657</v>
      </c>
      <c r="I112" s="1" t="s">
        <v>423</v>
      </c>
      <c r="J112" s="7" t="s">
        <v>424</v>
      </c>
      <c r="K112" s="17">
        <v>549</v>
      </c>
      <c r="L112" t="str">
        <f ca="1">+IF(TODAY()-ICETEX[[#This Row],[fecha_ultimo_movimiento]]&gt;360,"Inactivo","Activo")</f>
        <v>Inactivo</v>
      </c>
      <c r="M112" s="24">
        <f>+VLOOKUP(ICETEX[[#This Row],[fecha_ultimo_movimiento]],UVR!A:B,2,0)</f>
        <v>357.66980000000001</v>
      </c>
      <c r="N112" s="24">
        <v>214</v>
      </c>
      <c r="O112" t="s">
        <v>3265</v>
      </c>
    </row>
    <row r="113" spans="1:15" ht="15" thickBot="1">
      <c r="A113" s="6">
        <v>112</v>
      </c>
      <c r="B113" s="1" t="s">
        <v>425</v>
      </c>
      <c r="C113" s="1" t="s">
        <v>426</v>
      </c>
      <c r="D113" s="2">
        <v>75900986</v>
      </c>
      <c r="E113" s="1" t="s">
        <v>12</v>
      </c>
      <c r="F113" s="25">
        <v>120768.08</v>
      </c>
      <c r="G113" s="4">
        <v>45753</v>
      </c>
      <c r="H113" s="4">
        <v>42780</v>
      </c>
      <c r="I113" s="1" t="s">
        <v>427</v>
      </c>
      <c r="J113" s="7" t="s">
        <v>428</v>
      </c>
      <c r="K113" s="17">
        <v>84</v>
      </c>
      <c r="L113" t="str">
        <f ca="1">+IF(TODAY()-ICETEX[[#This Row],[fecha_ultimo_movimiento]]&gt;360,"Inactivo","Activo")</f>
        <v>Activo</v>
      </c>
      <c r="M113" s="24">
        <f>+VLOOKUP(ICETEX[[#This Row],[fecha_ultimo_movimiento]],UVR!A:B,2,0)</f>
        <v>385.65620000000001</v>
      </c>
      <c r="N113" s="24">
        <v>313</v>
      </c>
      <c r="O113" t="s">
        <v>3264</v>
      </c>
    </row>
    <row r="114" spans="1:15" ht="15" thickBot="1">
      <c r="A114" s="6">
        <v>113</v>
      </c>
      <c r="B114" s="1" t="s">
        <v>429</v>
      </c>
      <c r="C114" s="1" t="s">
        <v>430</v>
      </c>
      <c r="D114" s="2">
        <v>62205665</v>
      </c>
      <c r="E114" s="1" t="s">
        <v>45</v>
      </c>
      <c r="F114" s="25">
        <v>188917.19</v>
      </c>
      <c r="G114" s="4">
        <v>45237</v>
      </c>
      <c r="H114" s="4">
        <v>43108</v>
      </c>
      <c r="I114" s="1" t="s">
        <v>147</v>
      </c>
      <c r="J114" s="7" t="s">
        <v>431</v>
      </c>
      <c r="K114" s="17">
        <v>600</v>
      </c>
      <c r="L114" t="str">
        <f ca="1">+IF(TODAY()-ICETEX[[#This Row],[fecha_ultimo_movimiento]]&gt;360,"Inactivo","Activo")</f>
        <v>Inactivo</v>
      </c>
      <c r="M114" s="24">
        <f>+VLOOKUP(ICETEX[[#This Row],[fecha_ultimo_movimiento]],UVR!A:B,2,0)</f>
        <v>355.58249999999998</v>
      </c>
      <c r="N114" s="24">
        <v>531</v>
      </c>
      <c r="O114" t="s">
        <v>3264</v>
      </c>
    </row>
    <row r="115" spans="1:15" ht="15" thickBot="1">
      <c r="A115" s="6">
        <v>114</v>
      </c>
      <c r="B115" s="1" t="s">
        <v>432</v>
      </c>
      <c r="C115" s="1" t="s">
        <v>433</v>
      </c>
      <c r="D115" s="2">
        <v>44111188</v>
      </c>
      <c r="E115" s="1" t="s">
        <v>12</v>
      </c>
      <c r="F115" s="25">
        <v>120600.63</v>
      </c>
      <c r="G115" s="4">
        <v>44570</v>
      </c>
      <c r="H115" s="4">
        <v>43090</v>
      </c>
      <c r="I115" s="1" t="s">
        <v>434</v>
      </c>
      <c r="J115" s="7" t="s">
        <v>435</v>
      </c>
      <c r="K115" s="17">
        <v>1267</v>
      </c>
      <c r="L115" t="str">
        <f ca="1">+IF(TODAY()-ICETEX[[#This Row],[fecha_ultimo_movimiento]]&gt;360,"Inactivo","Activo")</f>
        <v>Inactivo</v>
      </c>
      <c r="M115" s="24">
        <f>+VLOOKUP(ICETEX[[#This Row],[fecha_ultimo_movimiento]],UVR!A:B,2,0)</f>
        <v>289.03730000000002</v>
      </c>
      <c r="N115" s="24">
        <v>417</v>
      </c>
      <c r="O115" t="s">
        <v>3264</v>
      </c>
    </row>
    <row r="116" spans="1:15" ht="15" thickBot="1">
      <c r="A116" s="6">
        <v>115</v>
      </c>
      <c r="B116" s="1" t="s">
        <v>436</v>
      </c>
      <c r="C116" s="1" t="s">
        <v>437</v>
      </c>
      <c r="D116" s="2">
        <v>82901897</v>
      </c>
      <c r="E116" s="1" t="s">
        <v>12</v>
      </c>
      <c r="F116" s="25">
        <v>121165.63</v>
      </c>
      <c r="G116" s="4">
        <v>43881</v>
      </c>
      <c r="H116" s="4">
        <v>43453</v>
      </c>
      <c r="I116" s="1" t="s">
        <v>438</v>
      </c>
      <c r="J116" s="7" t="s">
        <v>439</v>
      </c>
      <c r="K116" s="17">
        <v>1956</v>
      </c>
      <c r="L116" t="str">
        <f ca="1">+IF(TODAY()-ICETEX[[#This Row],[fecha_ultimo_movimiento]]&gt;360,"Inactivo","Activo")</f>
        <v>Inactivo</v>
      </c>
      <c r="M116" s="24">
        <f>+VLOOKUP(ICETEX[[#This Row],[fecha_ultimo_movimiento]],UVR!A:B,2,0)</f>
        <v>271.74470000000002</v>
      </c>
      <c r="N116" s="24">
        <v>446</v>
      </c>
      <c r="O116" t="s">
        <v>3264</v>
      </c>
    </row>
    <row r="117" spans="1:15" ht="15" thickBot="1">
      <c r="A117" s="6">
        <v>116</v>
      </c>
      <c r="B117" s="1" t="s">
        <v>440</v>
      </c>
      <c r="C117" s="1" t="s">
        <v>441</v>
      </c>
      <c r="D117" s="2">
        <v>211370590</v>
      </c>
      <c r="E117" s="1" t="s">
        <v>45</v>
      </c>
      <c r="F117" s="25">
        <v>201029.57</v>
      </c>
      <c r="G117" s="4">
        <v>45678</v>
      </c>
      <c r="H117" s="4">
        <v>42733</v>
      </c>
      <c r="I117" s="1" t="s">
        <v>415</v>
      </c>
      <c r="J117" s="7" t="s">
        <v>442</v>
      </c>
      <c r="K117" s="17">
        <v>159</v>
      </c>
      <c r="L117" t="str">
        <f ca="1">+IF(TODAY()-ICETEX[[#This Row],[fecha_ultimo_movimiento]]&gt;360,"Inactivo","Activo")</f>
        <v>Activo</v>
      </c>
      <c r="M117" s="24">
        <f>+VLOOKUP(ICETEX[[#This Row],[fecha_ultimo_movimiento]],UVR!A:B,2,0)</f>
        <v>377.6035</v>
      </c>
      <c r="N117" s="24">
        <v>532</v>
      </c>
      <c r="O117" t="s">
        <v>3264</v>
      </c>
    </row>
    <row r="118" spans="1:15" ht="15" thickBot="1">
      <c r="A118" s="6">
        <v>117</v>
      </c>
      <c r="B118" s="1" t="s">
        <v>443</v>
      </c>
      <c r="C118" s="1" t="s">
        <v>61</v>
      </c>
      <c r="D118" s="2">
        <v>63106734</v>
      </c>
      <c r="E118" s="1" t="s">
        <v>45</v>
      </c>
      <c r="F118" s="25">
        <v>91134.07</v>
      </c>
      <c r="G118" s="4">
        <v>45646</v>
      </c>
      <c r="H118" s="4">
        <v>42620</v>
      </c>
      <c r="I118" s="1" t="s">
        <v>401</v>
      </c>
      <c r="J118" s="7" t="s">
        <v>444</v>
      </c>
      <c r="K118" s="17">
        <v>191</v>
      </c>
      <c r="L118" t="str">
        <f ca="1">+IF(TODAY()-ICETEX[[#This Row],[fecha_ultimo_movimiento]]&gt;360,"Inactivo","Activo")</f>
        <v>Activo</v>
      </c>
      <c r="M118" s="24">
        <f>+VLOOKUP(ICETEX[[#This Row],[fecha_ultimo_movimiento]],UVR!A:B,2,0)</f>
        <v>376.416</v>
      </c>
      <c r="N118" s="24">
        <v>242</v>
      </c>
      <c r="O118" t="s">
        <v>3264</v>
      </c>
    </row>
    <row r="119" spans="1:15" ht="15" thickBot="1">
      <c r="A119" s="6">
        <v>118</v>
      </c>
      <c r="B119" s="1" t="s">
        <v>445</v>
      </c>
      <c r="C119" s="1" t="s">
        <v>446</v>
      </c>
      <c r="D119" s="2">
        <v>63114289</v>
      </c>
      <c r="E119" s="1" t="s">
        <v>12</v>
      </c>
      <c r="F119" s="25">
        <v>25461.279999999999</v>
      </c>
      <c r="G119" s="4">
        <v>44591</v>
      </c>
      <c r="H119" s="4">
        <v>42794</v>
      </c>
      <c r="I119" s="1" t="s">
        <v>447</v>
      </c>
      <c r="J119" s="7" t="s">
        <v>448</v>
      </c>
      <c r="K119" s="17">
        <v>1246</v>
      </c>
      <c r="L119" t="str">
        <f ca="1">+IF(TODAY()-ICETEX[[#This Row],[fecha_ultimo_movimiento]]&gt;360,"Inactivo","Activo")</f>
        <v>Inactivo</v>
      </c>
      <c r="M119" s="24">
        <f>+VLOOKUP(ICETEX[[#This Row],[fecha_ultimo_movimiento]],UVR!A:B,2,0)</f>
        <v>290.3365</v>
      </c>
      <c r="N119" s="24">
        <v>88</v>
      </c>
      <c r="O119" t="s">
        <v>3265</v>
      </c>
    </row>
    <row r="120" spans="1:15" ht="15" thickBot="1">
      <c r="A120" s="6">
        <v>119</v>
      </c>
      <c r="B120" s="1" t="s">
        <v>78</v>
      </c>
      <c r="C120" s="1" t="s">
        <v>449</v>
      </c>
      <c r="D120" s="2">
        <v>71112105</v>
      </c>
      <c r="E120" s="1" t="s">
        <v>12</v>
      </c>
      <c r="F120" s="25">
        <v>93005.93</v>
      </c>
      <c r="G120" s="4">
        <v>44511</v>
      </c>
      <c r="H120" s="4">
        <v>43290</v>
      </c>
      <c r="I120" s="1" t="s">
        <v>450</v>
      </c>
      <c r="J120" s="7" t="s">
        <v>451</v>
      </c>
      <c r="K120" s="17">
        <v>1326</v>
      </c>
      <c r="L120" t="str">
        <f ca="1">+IF(TODAY()-ICETEX[[#This Row],[fecha_ultimo_movimiento]]&gt;360,"Inactivo","Activo")</f>
        <v>Inactivo</v>
      </c>
      <c r="M120" s="24">
        <f>+VLOOKUP(ICETEX[[#This Row],[fecha_ultimo_movimiento]],UVR!A:B,2,0)</f>
        <v>287.70740000000001</v>
      </c>
      <c r="N120" s="24">
        <v>323</v>
      </c>
      <c r="O120" t="s">
        <v>3264</v>
      </c>
    </row>
    <row r="121" spans="1:15" ht="15" thickBot="1">
      <c r="A121" s="6">
        <v>120</v>
      </c>
      <c r="B121" s="1" t="s">
        <v>452</v>
      </c>
      <c r="C121" s="1" t="s">
        <v>453</v>
      </c>
      <c r="D121" s="2">
        <v>64103079</v>
      </c>
      <c r="E121" s="1" t="s">
        <v>12</v>
      </c>
      <c r="F121" s="25">
        <v>166284.32999999999</v>
      </c>
      <c r="G121" s="4">
        <v>44726</v>
      </c>
      <c r="H121" s="4">
        <v>42409</v>
      </c>
      <c r="I121" s="1" t="s">
        <v>25</v>
      </c>
      <c r="J121" s="7" t="s">
        <v>454</v>
      </c>
      <c r="K121" s="17">
        <v>1111</v>
      </c>
      <c r="L121" t="str">
        <f ca="1">+IF(TODAY()-ICETEX[[#This Row],[fecha_ultimo_movimiento]]&gt;360,"Inactivo","Activo")</f>
        <v>Inactivo</v>
      </c>
      <c r="M121" s="24">
        <f>+VLOOKUP(ICETEX[[#This Row],[fecha_ultimo_movimiento]],UVR!A:B,2,0)</f>
        <v>307.81459999999998</v>
      </c>
      <c r="N121" s="24">
        <v>540</v>
      </c>
      <c r="O121" t="s">
        <v>3264</v>
      </c>
    </row>
    <row r="122" spans="1:15" ht="15" thickBot="1">
      <c r="A122" s="6">
        <v>121</v>
      </c>
      <c r="B122" s="1" t="s">
        <v>455</v>
      </c>
      <c r="C122" s="1" t="s">
        <v>456</v>
      </c>
      <c r="D122" s="2">
        <v>113193723</v>
      </c>
      <c r="E122" s="1" t="s">
        <v>45</v>
      </c>
      <c r="F122" s="25">
        <v>118857.9</v>
      </c>
      <c r="G122" s="4">
        <v>45375</v>
      </c>
      <c r="H122" s="4">
        <v>42846</v>
      </c>
      <c r="I122" s="1" t="s">
        <v>383</v>
      </c>
      <c r="J122" s="7" t="s">
        <v>457</v>
      </c>
      <c r="K122" s="17">
        <v>462</v>
      </c>
      <c r="L122" t="str">
        <f ca="1">+IF(TODAY()-ICETEX[[#This Row],[fecha_ultimo_movimiento]]&gt;360,"Inactivo","Activo")</f>
        <v>Inactivo</v>
      </c>
      <c r="M122" s="24">
        <f>+VLOOKUP(ICETEX[[#This Row],[fecha_ultimo_movimiento]],UVR!A:B,2,0)</f>
        <v>364.71929999999998</v>
      </c>
      <c r="N122" s="24">
        <v>326</v>
      </c>
      <c r="O122" t="s">
        <v>3264</v>
      </c>
    </row>
    <row r="123" spans="1:15" ht="15" thickBot="1">
      <c r="A123" s="6">
        <v>122</v>
      </c>
      <c r="B123" s="1" t="s">
        <v>458</v>
      </c>
      <c r="C123" s="1" t="s">
        <v>459</v>
      </c>
      <c r="D123" s="2">
        <v>53112673</v>
      </c>
      <c r="E123" s="1" t="s">
        <v>45</v>
      </c>
      <c r="F123" s="25">
        <v>80729.320000000007</v>
      </c>
      <c r="G123" s="4">
        <v>44937</v>
      </c>
      <c r="H123" s="4">
        <v>42900</v>
      </c>
      <c r="I123" s="1" t="s">
        <v>460</v>
      </c>
      <c r="J123" s="7" t="s">
        <v>461</v>
      </c>
      <c r="K123" s="17">
        <v>900</v>
      </c>
      <c r="L123" t="str">
        <f ca="1">+IF(TODAY()-ICETEX[[#This Row],[fecha_ultimo_movimiento]]&gt;360,"Inactivo","Activo")</f>
        <v>Inactivo</v>
      </c>
      <c r="M123" s="24">
        <f>+VLOOKUP(ICETEX[[#This Row],[fecha_ultimo_movimiento]],UVR!A:B,2,0)</f>
        <v>325.27749999999997</v>
      </c>
      <c r="N123" s="24">
        <v>248</v>
      </c>
      <c r="O123" t="s">
        <v>3265</v>
      </c>
    </row>
    <row r="124" spans="1:15" ht="26.5" thickBot="1">
      <c r="A124" s="6">
        <v>123</v>
      </c>
      <c r="B124" s="1" t="s">
        <v>462</v>
      </c>
      <c r="C124" s="1" t="s">
        <v>463</v>
      </c>
      <c r="D124" s="2">
        <v>322271096</v>
      </c>
      <c r="E124" s="1" t="s">
        <v>45</v>
      </c>
      <c r="F124" s="25">
        <v>37500.33</v>
      </c>
      <c r="G124" s="4">
        <v>44505</v>
      </c>
      <c r="H124" s="4">
        <v>42840</v>
      </c>
      <c r="I124" s="1" t="s">
        <v>357</v>
      </c>
      <c r="J124" s="7" t="s">
        <v>464</v>
      </c>
      <c r="K124" s="17">
        <v>1332</v>
      </c>
      <c r="L124" t="str">
        <f ca="1">+IF(TODAY()-ICETEX[[#This Row],[fecha_ultimo_movimiento]]&gt;360,"Inactivo","Activo")</f>
        <v>Inactivo</v>
      </c>
      <c r="M124" s="24">
        <f>+VLOOKUP(ICETEX[[#This Row],[fecha_ultimo_movimiento]],UVR!A:B,2,0)</f>
        <v>287.49630000000002</v>
      </c>
      <c r="N124" s="24">
        <v>130</v>
      </c>
      <c r="O124" t="s">
        <v>3265</v>
      </c>
    </row>
    <row r="125" spans="1:15" ht="15" thickBot="1">
      <c r="A125" s="6">
        <v>124</v>
      </c>
      <c r="B125" s="1" t="s">
        <v>465</v>
      </c>
      <c r="C125" s="1" t="s">
        <v>466</v>
      </c>
      <c r="D125" s="2">
        <v>322079719</v>
      </c>
      <c r="E125" s="1" t="s">
        <v>45</v>
      </c>
      <c r="F125" s="25">
        <v>110935.17</v>
      </c>
      <c r="G125" s="4">
        <v>45272</v>
      </c>
      <c r="H125" s="4">
        <v>43449</v>
      </c>
      <c r="I125" s="1" t="s">
        <v>467</v>
      </c>
      <c r="J125" s="7" t="s">
        <v>468</v>
      </c>
      <c r="K125" s="17">
        <v>565</v>
      </c>
      <c r="L125" t="str">
        <f ca="1">+IF(TODAY()-ICETEX[[#This Row],[fecha_ultimo_movimiento]]&gt;360,"Inactivo","Activo")</f>
        <v>Inactivo</v>
      </c>
      <c r="M125" s="24">
        <f>+VLOOKUP(ICETEX[[#This Row],[fecha_ultimo_movimiento]],UVR!A:B,2,0)</f>
        <v>356.87810000000002</v>
      </c>
      <c r="N125" s="24">
        <v>311</v>
      </c>
      <c r="O125" t="s">
        <v>3265</v>
      </c>
    </row>
    <row r="126" spans="1:15" ht="15" thickBot="1">
      <c r="A126" s="6">
        <v>125</v>
      </c>
      <c r="B126" s="1" t="s">
        <v>469</v>
      </c>
      <c r="C126" s="1" t="s">
        <v>470</v>
      </c>
      <c r="D126" s="2">
        <v>81004591</v>
      </c>
      <c r="E126" s="1" t="s">
        <v>45</v>
      </c>
      <c r="F126" s="25">
        <v>110848.01</v>
      </c>
      <c r="G126" s="4">
        <v>44768</v>
      </c>
      <c r="H126" s="4">
        <v>43436</v>
      </c>
      <c r="I126" s="1" t="s">
        <v>471</v>
      </c>
      <c r="J126" s="7" t="s">
        <v>472</v>
      </c>
      <c r="K126" s="17">
        <v>1069</v>
      </c>
      <c r="L126" t="str">
        <f ca="1">+IF(TODAY()-ICETEX[[#This Row],[fecha_ultimo_movimiento]]&gt;360,"Inactivo","Activo")</f>
        <v>Inactivo</v>
      </c>
      <c r="M126" s="24">
        <f>+VLOOKUP(ICETEX[[#This Row],[fecha_ultimo_movimiento]],UVR!A:B,2,0)</f>
        <v>311.08569999999997</v>
      </c>
      <c r="N126" s="24">
        <v>356</v>
      </c>
      <c r="O126" t="s">
        <v>3264</v>
      </c>
    </row>
    <row r="127" spans="1:15" ht="15" thickBot="1">
      <c r="A127" s="6">
        <v>126</v>
      </c>
      <c r="B127" s="1" t="s">
        <v>473</v>
      </c>
      <c r="C127" s="1" t="s">
        <v>474</v>
      </c>
      <c r="D127" s="2">
        <v>122220593</v>
      </c>
      <c r="E127" s="1" t="s">
        <v>45</v>
      </c>
      <c r="F127" s="25">
        <v>211811.4</v>
      </c>
      <c r="G127" s="4">
        <v>45756</v>
      </c>
      <c r="H127" s="4">
        <v>43335</v>
      </c>
      <c r="I127" s="1" t="s">
        <v>475</v>
      </c>
      <c r="J127" s="7" t="s">
        <v>476</v>
      </c>
      <c r="K127" s="17">
        <v>81</v>
      </c>
      <c r="L127" t="str">
        <f ca="1">+IF(TODAY()-ICETEX[[#This Row],[fecha_ultimo_movimiento]]&gt;360,"Inactivo","Activo")</f>
        <v>Activo</v>
      </c>
      <c r="M127" s="24">
        <f>+VLOOKUP(ICETEX[[#This Row],[fecha_ultimo_movimiento]],UVR!A:B,2,0)</f>
        <v>386.0795</v>
      </c>
      <c r="N127" s="24">
        <v>549</v>
      </c>
      <c r="O127" t="s">
        <v>3264</v>
      </c>
    </row>
    <row r="128" spans="1:15" ht="15" thickBot="1">
      <c r="A128" s="6">
        <v>127</v>
      </c>
      <c r="B128" s="1" t="s">
        <v>477</v>
      </c>
      <c r="C128" s="1" t="s">
        <v>478</v>
      </c>
      <c r="D128" s="2">
        <v>253184359</v>
      </c>
      <c r="E128" s="1" t="s">
        <v>45</v>
      </c>
      <c r="F128" s="25">
        <v>14576.68</v>
      </c>
      <c r="G128" s="4">
        <v>45693</v>
      </c>
      <c r="H128" s="4">
        <v>42529</v>
      </c>
      <c r="I128" s="1" t="s">
        <v>479</v>
      </c>
      <c r="J128" s="7" t="s">
        <v>480</v>
      </c>
      <c r="K128" s="17">
        <v>144</v>
      </c>
      <c r="L128" t="str">
        <f ca="1">+IF(TODAY()-ICETEX[[#This Row],[fecha_ultimo_movimiento]]&gt;360,"Inactivo","Activo")</f>
        <v>Activo</v>
      </c>
      <c r="M128" s="24">
        <f>+VLOOKUP(ICETEX[[#This Row],[fecha_ultimo_movimiento]],UVR!A:B,2,0)</f>
        <v>378.44290000000001</v>
      </c>
      <c r="N128" s="24">
        <v>39</v>
      </c>
      <c r="O128" t="s">
        <v>3264</v>
      </c>
    </row>
    <row r="129" spans="1:15" ht="15" thickBot="1">
      <c r="A129" s="6">
        <v>128</v>
      </c>
      <c r="B129" s="1" t="s">
        <v>481</v>
      </c>
      <c r="C129" s="1" t="s">
        <v>482</v>
      </c>
      <c r="D129" s="2">
        <v>63115437</v>
      </c>
      <c r="E129" s="1" t="s">
        <v>12</v>
      </c>
      <c r="F129" s="25">
        <v>144845.92000000001</v>
      </c>
      <c r="G129" s="4">
        <v>45313</v>
      </c>
      <c r="H129" s="4">
        <v>42780</v>
      </c>
      <c r="I129" s="1" t="s">
        <v>447</v>
      </c>
      <c r="J129" s="7" t="s">
        <v>483</v>
      </c>
      <c r="K129" s="17">
        <v>524</v>
      </c>
      <c r="L129" t="str">
        <f ca="1">+IF(TODAY()-ICETEX[[#This Row],[fecha_ultimo_movimiento]]&gt;360,"Inactivo","Activo")</f>
        <v>Inactivo</v>
      </c>
      <c r="M129" s="24">
        <f>+VLOOKUP(ICETEX[[#This Row],[fecha_ultimo_movimiento]],UVR!A:B,2,0)</f>
        <v>359.00869999999998</v>
      </c>
      <c r="N129" s="24">
        <v>403</v>
      </c>
      <c r="O129" t="s">
        <v>3264</v>
      </c>
    </row>
    <row r="130" spans="1:15" ht="15" thickBot="1">
      <c r="A130" s="6">
        <v>129</v>
      </c>
      <c r="B130" s="1" t="s">
        <v>484</v>
      </c>
      <c r="C130" s="1" t="s">
        <v>485</v>
      </c>
      <c r="D130" s="2">
        <v>11101613</v>
      </c>
      <c r="E130" s="1" t="s">
        <v>45</v>
      </c>
      <c r="F130" s="25">
        <v>197691.63</v>
      </c>
      <c r="G130" s="4">
        <v>44913</v>
      </c>
      <c r="H130" s="4">
        <v>43054</v>
      </c>
      <c r="I130" s="1" t="s">
        <v>415</v>
      </c>
      <c r="J130" s="7" t="s">
        <v>486</v>
      </c>
      <c r="K130" s="17">
        <v>924</v>
      </c>
      <c r="L130" t="str">
        <f ca="1">+IF(TODAY()-ICETEX[[#This Row],[fecha_ultimo_movimiento]]&gt;360,"Inactivo","Activo")</f>
        <v>Inactivo</v>
      </c>
      <c r="M130" s="24">
        <f>+VLOOKUP(ICETEX[[#This Row],[fecha_ultimo_movimiento]],UVR!A:B,2,0)</f>
        <v>323.35149999999999</v>
      </c>
      <c r="N130" s="24">
        <v>611</v>
      </c>
      <c r="O130" t="s">
        <v>3264</v>
      </c>
    </row>
    <row r="131" spans="1:15" ht="15" thickBot="1">
      <c r="A131" s="6">
        <v>130</v>
      </c>
      <c r="B131" s="1" t="s">
        <v>487</v>
      </c>
      <c r="C131" s="1" t="s">
        <v>488</v>
      </c>
      <c r="D131" s="2">
        <v>53201607</v>
      </c>
      <c r="E131" s="1" t="s">
        <v>45</v>
      </c>
      <c r="F131" s="25">
        <v>174922.59</v>
      </c>
      <c r="G131" s="4">
        <v>44800</v>
      </c>
      <c r="H131" s="4">
        <v>42797</v>
      </c>
      <c r="I131" s="1" t="s">
        <v>213</v>
      </c>
      <c r="J131" s="7" t="s">
        <v>489</v>
      </c>
      <c r="K131" s="17">
        <v>1037</v>
      </c>
      <c r="L131" t="str">
        <f ca="1">+IF(TODAY()-ICETEX[[#This Row],[fecha_ultimo_movimiento]]&gt;360,"Inactivo","Activo")</f>
        <v>Inactivo</v>
      </c>
      <c r="M131" s="24">
        <f>+VLOOKUP(ICETEX[[#This Row],[fecha_ultimo_movimiento]],UVR!A:B,2,0)</f>
        <v>313.08460000000002</v>
      </c>
      <c r="N131" s="24">
        <v>559</v>
      </c>
      <c r="O131" t="s">
        <v>3264</v>
      </c>
    </row>
    <row r="132" spans="1:15" ht="15" thickBot="1">
      <c r="A132" s="6">
        <v>131</v>
      </c>
      <c r="B132" s="1" t="s">
        <v>490</v>
      </c>
      <c r="C132" s="1" t="s">
        <v>491</v>
      </c>
      <c r="D132" s="2">
        <v>63115631</v>
      </c>
      <c r="E132" s="1" t="s">
        <v>45</v>
      </c>
      <c r="F132" s="25">
        <v>61135.4</v>
      </c>
      <c r="G132" s="4">
        <v>45708</v>
      </c>
      <c r="H132" s="4">
        <v>42725</v>
      </c>
      <c r="I132" s="1" t="s">
        <v>151</v>
      </c>
      <c r="J132" s="7" t="s">
        <v>492</v>
      </c>
      <c r="K132" s="17">
        <v>129</v>
      </c>
      <c r="L132" t="str">
        <f ca="1">+IF(TODAY()-ICETEX[[#This Row],[fecha_ultimo_movimiento]]&gt;360,"Inactivo","Activo")</f>
        <v>Activo</v>
      </c>
      <c r="M132" s="24">
        <f>+VLOOKUP(ICETEX[[#This Row],[fecha_ultimo_movimiento]],UVR!A:B,2,0)</f>
        <v>379.63729999999998</v>
      </c>
      <c r="N132" s="24">
        <v>161</v>
      </c>
      <c r="O132" t="s">
        <v>3264</v>
      </c>
    </row>
    <row r="133" spans="1:15" ht="15" thickBot="1">
      <c r="A133" s="6">
        <v>132</v>
      </c>
      <c r="B133" s="1" t="s">
        <v>493</v>
      </c>
      <c r="C133" s="1" t="s">
        <v>494</v>
      </c>
      <c r="D133" s="2">
        <v>122242759</v>
      </c>
      <c r="E133" s="1" t="s">
        <v>45</v>
      </c>
      <c r="F133" s="25">
        <v>77170.87</v>
      </c>
      <c r="G133" s="4">
        <v>44729</v>
      </c>
      <c r="H133" s="4">
        <v>42846</v>
      </c>
      <c r="I133" s="1" t="s">
        <v>495</v>
      </c>
      <c r="J133" s="8" t="s">
        <v>496</v>
      </c>
      <c r="K133" s="17">
        <v>1108</v>
      </c>
      <c r="L133" t="str">
        <f ca="1">+IF(TODAY()-ICETEX[[#This Row],[fecha_ultimo_movimiento]]&gt;360,"Inactivo","Activo")</f>
        <v>Inactivo</v>
      </c>
      <c r="M133" s="24">
        <f>+VLOOKUP(ICETEX[[#This Row],[fecha_ultimo_movimiento]],UVR!A:B,2,0)</f>
        <v>308.10980000000001</v>
      </c>
      <c r="N133" s="24">
        <v>250</v>
      </c>
      <c r="O133" t="s">
        <v>3265</v>
      </c>
    </row>
    <row r="134" spans="1:15" ht="15" thickBot="1">
      <c r="A134" s="6">
        <v>133</v>
      </c>
      <c r="B134" s="1" t="s">
        <v>497</v>
      </c>
      <c r="C134" s="1" t="s">
        <v>498</v>
      </c>
      <c r="D134" s="2">
        <v>61000146</v>
      </c>
      <c r="E134" s="1" t="s">
        <v>45</v>
      </c>
      <c r="F134" s="25">
        <v>146291.60999999999</v>
      </c>
      <c r="G134" s="4">
        <v>43911</v>
      </c>
      <c r="H134" s="4">
        <v>42794</v>
      </c>
      <c r="I134" s="1" t="s">
        <v>499</v>
      </c>
      <c r="J134" s="7" t="s">
        <v>500</v>
      </c>
      <c r="K134" s="17">
        <v>1926</v>
      </c>
      <c r="L134" t="str">
        <f ca="1">+IF(TODAY()-ICETEX[[#This Row],[fecha_ultimo_movimiento]]&gt;360,"Inactivo","Activo")</f>
        <v>Inactivo</v>
      </c>
      <c r="M134" s="24">
        <f>+VLOOKUP(ICETEX[[#This Row],[fecha_ultimo_movimiento]],UVR!A:B,2,0)</f>
        <v>273.04160000000002</v>
      </c>
      <c r="N134" s="24">
        <v>536</v>
      </c>
      <c r="O134" t="s">
        <v>3264</v>
      </c>
    </row>
    <row r="135" spans="1:15" ht="15" thickBot="1">
      <c r="A135" s="6">
        <v>134</v>
      </c>
      <c r="B135" s="1" t="s">
        <v>501</v>
      </c>
      <c r="C135" s="1" t="s">
        <v>502</v>
      </c>
      <c r="D135" s="2">
        <v>111904231</v>
      </c>
      <c r="E135" s="1" t="s">
        <v>45</v>
      </c>
      <c r="F135" s="25">
        <v>68895.72</v>
      </c>
      <c r="G135" s="4">
        <v>45576</v>
      </c>
      <c r="H135" s="4">
        <v>43226</v>
      </c>
      <c r="I135" s="1" t="s">
        <v>503</v>
      </c>
      <c r="J135" s="7" t="s">
        <v>504</v>
      </c>
      <c r="K135" s="17">
        <v>261</v>
      </c>
      <c r="L135" t="str">
        <f ca="1">+IF(TODAY()-ICETEX[[#This Row],[fecha_ultimo_movimiento]]&gt;360,"Inactivo","Activo")</f>
        <v>Activo</v>
      </c>
      <c r="M135" s="24">
        <f>+VLOOKUP(ICETEX[[#This Row],[fecha_ultimo_movimiento]],UVR!A:B,2,0)</f>
        <v>375.84010000000001</v>
      </c>
      <c r="N135" s="24">
        <v>183</v>
      </c>
      <c r="O135" t="s">
        <v>3264</v>
      </c>
    </row>
    <row r="136" spans="1:15" ht="15" thickBot="1">
      <c r="A136" s="6">
        <v>135</v>
      </c>
      <c r="B136" s="1" t="s">
        <v>505</v>
      </c>
      <c r="C136" s="1" t="s">
        <v>506</v>
      </c>
      <c r="D136" s="2">
        <v>62205733</v>
      </c>
      <c r="E136" s="1" t="s">
        <v>45</v>
      </c>
      <c r="F136" s="25">
        <v>207499.47</v>
      </c>
      <c r="G136" s="4">
        <v>44312</v>
      </c>
      <c r="H136" s="4">
        <v>43307</v>
      </c>
      <c r="I136" s="1" t="s">
        <v>135</v>
      </c>
      <c r="J136" s="7" t="s">
        <v>507</v>
      </c>
      <c r="K136" s="17">
        <v>1525</v>
      </c>
      <c r="L136" t="str">
        <f ca="1">+IF(TODAY()-ICETEX[[#This Row],[fecha_ultimo_movimiento]]&gt;360,"Inactivo","Activo")</f>
        <v>Inactivo</v>
      </c>
      <c r="M136" s="24">
        <f>+VLOOKUP(ICETEX[[#This Row],[fecha_ultimo_movimiento]],UVR!A:B,2,0)</f>
        <v>279.33210000000003</v>
      </c>
      <c r="N136" s="24">
        <v>743</v>
      </c>
      <c r="O136" t="s">
        <v>3264</v>
      </c>
    </row>
    <row r="137" spans="1:15" ht="15" thickBot="1">
      <c r="A137" s="6">
        <v>136</v>
      </c>
      <c r="B137" s="1" t="s">
        <v>508</v>
      </c>
      <c r="C137" s="1" t="s">
        <v>509</v>
      </c>
      <c r="D137" s="2">
        <v>51504623</v>
      </c>
      <c r="E137" s="1" t="s">
        <v>45</v>
      </c>
      <c r="F137" s="25">
        <v>28375.06</v>
      </c>
      <c r="G137" s="4">
        <v>44941</v>
      </c>
      <c r="H137" s="4">
        <v>42828</v>
      </c>
      <c r="I137" s="1" t="s">
        <v>510</v>
      </c>
      <c r="J137" s="7" t="s">
        <v>511</v>
      </c>
      <c r="K137" s="17">
        <v>896</v>
      </c>
      <c r="L137" t="str">
        <f ca="1">+IF(TODAY()-ICETEX[[#This Row],[fecha_ultimo_movimiento]]&gt;360,"Inactivo","Activo")</f>
        <v>Inactivo</v>
      </c>
      <c r="M137" s="24">
        <f>+VLOOKUP(ICETEX[[#This Row],[fecha_ultimo_movimiento]],UVR!A:B,2,0)</f>
        <v>325.59960000000001</v>
      </c>
      <c r="N137" s="24">
        <v>87</v>
      </c>
      <c r="O137" t="s">
        <v>3265</v>
      </c>
    </row>
    <row r="138" spans="1:15" ht="15" thickBot="1">
      <c r="A138" s="6">
        <v>137</v>
      </c>
      <c r="B138" s="1" t="s">
        <v>314</v>
      </c>
      <c r="C138" s="1" t="s">
        <v>512</v>
      </c>
      <c r="D138" s="2">
        <v>313172052</v>
      </c>
      <c r="E138" s="1" t="s">
        <v>12</v>
      </c>
      <c r="F138" s="25">
        <v>131656.91</v>
      </c>
      <c r="G138" s="4">
        <v>45663</v>
      </c>
      <c r="H138" s="4">
        <v>43142</v>
      </c>
      <c r="I138" s="1" t="s">
        <v>513</v>
      </c>
      <c r="J138" s="7" t="s">
        <v>514</v>
      </c>
      <c r="K138" s="17">
        <v>174</v>
      </c>
      <c r="L138" t="str">
        <f ca="1">+IF(TODAY()-ICETEX[[#This Row],[fecha_ultimo_movimiento]]&gt;360,"Inactivo","Activo")</f>
        <v>Activo</v>
      </c>
      <c r="M138" s="24">
        <f>+VLOOKUP(ICETEX[[#This Row],[fecha_ultimo_movimiento]],UVR!A:B,2,0)</f>
        <v>376.97300000000001</v>
      </c>
      <c r="N138" s="24">
        <v>349</v>
      </c>
      <c r="O138" t="s">
        <v>3264</v>
      </c>
    </row>
    <row r="139" spans="1:15" ht="15" thickBot="1">
      <c r="A139" s="6">
        <v>138</v>
      </c>
      <c r="B139" s="1" t="s">
        <v>515</v>
      </c>
      <c r="C139" s="1" t="s">
        <v>516</v>
      </c>
      <c r="D139" s="2">
        <v>107004695</v>
      </c>
      <c r="E139" s="1" t="s">
        <v>45</v>
      </c>
      <c r="F139" s="25">
        <v>213348.09</v>
      </c>
      <c r="G139" s="4">
        <v>44685</v>
      </c>
      <c r="H139" s="4">
        <v>43041</v>
      </c>
      <c r="I139" s="1" t="s">
        <v>54</v>
      </c>
      <c r="J139" s="7" t="s">
        <v>517</v>
      </c>
      <c r="K139" s="17">
        <v>1152</v>
      </c>
      <c r="L139" t="str">
        <f ca="1">+IF(TODAY()-ICETEX[[#This Row],[fecha_ultimo_movimiento]]&gt;360,"Inactivo","Activo")</f>
        <v>Inactivo</v>
      </c>
      <c r="M139" s="24">
        <f>+VLOOKUP(ICETEX[[#This Row],[fecha_ultimo_movimiento]],UVR!A:B,2,0)</f>
        <v>303.02859999999998</v>
      </c>
      <c r="N139" s="24">
        <v>704</v>
      </c>
      <c r="O139" t="s">
        <v>3264</v>
      </c>
    </row>
    <row r="140" spans="1:15" ht="15" thickBot="1">
      <c r="A140" s="6">
        <v>139</v>
      </c>
      <c r="B140" s="1" t="s">
        <v>518</v>
      </c>
      <c r="C140" s="1" t="s">
        <v>519</v>
      </c>
      <c r="D140" s="2">
        <v>101001911</v>
      </c>
      <c r="E140" s="1" t="s">
        <v>45</v>
      </c>
      <c r="F140" s="25">
        <v>51783.95</v>
      </c>
      <c r="G140" s="4">
        <v>43949</v>
      </c>
      <c r="H140" s="4">
        <v>43015</v>
      </c>
      <c r="I140" s="1" t="s">
        <v>13</v>
      </c>
      <c r="J140" s="7" t="s">
        <v>520</v>
      </c>
      <c r="K140" s="17">
        <v>1888</v>
      </c>
      <c r="L140" t="str">
        <f ca="1">+IF(TODAY()-ICETEX[[#This Row],[fecha_ultimo_movimiento]]&gt;360,"Inactivo","Activo")</f>
        <v>Inactivo</v>
      </c>
      <c r="M140" s="24">
        <f>+VLOOKUP(ICETEX[[#This Row],[fecha_ultimo_movimiento]],UVR!A:B,2,0)</f>
        <v>275.19290000000001</v>
      </c>
      <c r="N140" s="24">
        <v>188</v>
      </c>
      <c r="O140" t="s">
        <v>3265</v>
      </c>
    </row>
    <row r="141" spans="1:15" ht="15" thickBot="1">
      <c r="A141" s="6">
        <v>140</v>
      </c>
      <c r="B141" s="1" t="s">
        <v>521</v>
      </c>
      <c r="C141" s="1" t="s">
        <v>522</v>
      </c>
      <c r="D141" s="2">
        <v>323270216</v>
      </c>
      <c r="E141" s="1" t="s">
        <v>45</v>
      </c>
      <c r="F141" s="25">
        <v>31684.62</v>
      </c>
      <c r="G141" s="4">
        <v>45546</v>
      </c>
      <c r="H141" s="4">
        <v>42975</v>
      </c>
      <c r="I141" s="1" t="s">
        <v>193</v>
      </c>
      <c r="J141" s="7" t="s">
        <v>523</v>
      </c>
      <c r="K141" s="17">
        <v>291</v>
      </c>
      <c r="L141" t="str">
        <f ca="1">+IF(TODAY()-ICETEX[[#This Row],[fecha_ultimo_movimiento]]&gt;360,"Inactivo","Activo")</f>
        <v>Activo</v>
      </c>
      <c r="M141" s="24">
        <f>+VLOOKUP(ICETEX[[#This Row],[fecha_ultimo_movimiento]],UVR!A:B,2,0)</f>
        <v>375.7432</v>
      </c>
      <c r="N141" s="24">
        <v>84</v>
      </c>
      <c r="O141" t="s">
        <v>3264</v>
      </c>
    </row>
    <row r="142" spans="1:15" ht="15" thickBot="1">
      <c r="A142" s="6">
        <v>141</v>
      </c>
      <c r="B142" s="1" t="s">
        <v>524</v>
      </c>
      <c r="C142" s="1" t="s">
        <v>525</v>
      </c>
      <c r="D142" s="2">
        <v>253272070</v>
      </c>
      <c r="E142" s="1" t="s">
        <v>45</v>
      </c>
      <c r="F142" s="25">
        <v>90356.07</v>
      </c>
      <c r="G142" s="4">
        <v>45419</v>
      </c>
      <c r="H142" s="4">
        <v>42834</v>
      </c>
      <c r="I142" s="1" t="s">
        <v>526</v>
      </c>
      <c r="J142" s="7" t="s">
        <v>527</v>
      </c>
      <c r="K142" s="17">
        <v>418</v>
      </c>
      <c r="L142" t="str">
        <f ca="1">+IF(TODAY()-ICETEX[[#This Row],[fecha_ultimo_movimiento]]&gt;360,"Inactivo","Activo")</f>
        <v>Inactivo</v>
      </c>
      <c r="M142" s="24">
        <f>+VLOOKUP(ICETEX[[#This Row],[fecha_ultimo_movimiento]],UVR!A:B,2,0)</f>
        <v>369.42099999999999</v>
      </c>
      <c r="N142" s="24">
        <v>245</v>
      </c>
      <c r="O142" t="s">
        <v>3265</v>
      </c>
    </row>
    <row r="143" spans="1:15" ht="15" thickBot="1">
      <c r="A143" s="6">
        <v>142</v>
      </c>
      <c r="B143" s="1" t="s">
        <v>528</v>
      </c>
      <c r="C143" s="1" t="s">
        <v>529</v>
      </c>
      <c r="D143" s="2">
        <v>65306079</v>
      </c>
      <c r="E143" s="1" t="s">
        <v>12</v>
      </c>
      <c r="F143" s="25">
        <v>192096.36</v>
      </c>
      <c r="G143" s="4">
        <v>44940</v>
      </c>
      <c r="H143" s="4">
        <v>42571</v>
      </c>
      <c r="I143" s="1" t="s">
        <v>530</v>
      </c>
      <c r="J143" s="7" t="s">
        <v>531</v>
      </c>
      <c r="K143" s="17">
        <v>897</v>
      </c>
      <c r="L143" t="str">
        <f ca="1">+IF(TODAY()-ICETEX[[#This Row],[fecha_ultimo_movimiento]]&gt;360,"Inactivo","Activo")</f>
        <v>Inactivo</v>
      </c>
      <c r="M143" s="24">
        <f>+VLOOKUP(ICETEX[[#This Row],[fecha_ultimo_movimiento]],UVR!A:B,2,0)</f>
        <v>325.51900000000001</v>
      </c>
      <c r="N143" s="24">
        <v>590</v>
      </c>
      <c r="O143" t="s">
        <v>3264</v>
      </c>
    </row>
    <row r="144" spans="1:15" ht="15" thickBot="1">
      <c r="A144" s="6">
        <v>143</v>
      </c>
      <c r="B144" s="1" t="s">
        <v>532</v>
      </c>
      <c r="C144" s="1" t="s">
        <v>533</v>
      </c>
      <c r="D144" s="2">
        <v>113009464</v>
      </c>
      <c r="E144" s="1" t="s">
        <v>12</v>
      </c>
      <c r="F144" s="25">
        <v>74082.19</v>
      </c>
      <c r="G144" s="4">
        <v>44240</v>
      </c>
      <c r="H144" s="4">
        <v>42763</v>
      </c>
      <c r="I144" s="1" t="s">
        <v>534</v>
      </c>
      <c r="J144" s="7" t="s">
        <v>535</v>
      </c>
      <c r="K144" s="17">
        <v>1597</v>
      </c>
      <c r="L144" t="str">
        <f ca="1">+IF(TODAY()-ICETEX[[#This Row],[fecha_ultimo_movimiento]]&gt;360,"Inactivo","Activo")</f>
        <v>Inactivo</v>
      </c>
      <c r="M144" s="24">
        <f>+VLOOKUP(ICETEX[[#This Row],[fecha_ultimo_movimiento]],UVR!A:B,2,0)</f>
        <v>275.8399</v>
      </c>
      <c r="N144" s="24">
        <v>269</v>
      </c>
      <c r="O144" t="s">
        <v>3265</v>
      </c>
    </row>
    <row r="145" spans="1:15" ht="15" thickBot="1">
      <c r="A145" s="6">
        <v>144</v>
      </c>
      <c r="B145" s="1" t="s">
        <v>536</v>
      </c>
      <c r="C145" s="1" t="s">
        <v>537</v>
      </c>
      <c r="D145" s="2">
        <v>72412176</v>
      </c>
      <c r="E145" s="1" t="s">
        <v>12</v>
      </c>
      <c r="F145" s="25">
        <v>209419.06</v>
      </c>
      <c r="G145" s="4">
        <v>44368</v>
      </c>
      <c r="H145" s="4">
        <v>42926</v>
      </c>
      <c r="I145" s="1" t="s">
        <v>538</v>
      </c>
      <c r="J145" s="7" t="s">
        <v>539</v>
      </c>
      <c r="K145" s="17">
        <v>1469</v>
      </c>
      <c r="L145" t="str">
        <f ca="1">+IF(TODAY()-ICETEX[[#This Row],[fecha_ultimo_movimiento]]&gt;360,"Inactivo","Activo")</f>
        <v>Inactivo</v>
      </c>
      <c r="M145" s="24">
        <f>+VLOOKUP(ICETEX[[#This Row],[fecha_ultimo_movimiento]],UVR!A:B,2,0)</f>
        <v>282.44839999999999</v>
      </c>
      <c r="N145" s="24">
        <v>741</v>
      </c>
      <c r="O145" t="s">
        <v>3264</v>
      </c>
    </row>
    <row r="146" spans="1:15" ht="15" thickBot="1">
      <c r="A146" s="6">
        <v>145</v>
      </c>
      <c r="B146" s="1" t="s">
        <v>540</v>
      </c>
      <c r="C146" s="1" t="s">
        <v>541</v>
      </c>
      <c r="D146" s="2">
        <v>52100547</v>
      </c>
      <c r="E146" s="1" t="s">
        <v>12</v>
      </c>
      <c r="F146" s="25">
        <v>98249.17</v>
      </c>
      <c r="G146" s="4">
        <v>45800</v>
      </c>
      <c r="H146" s="4">
        <v>42483</v>
      </c>
      <c r="I146" s="1" t="s">
        <v>147</v>
      </c>
      <c r="J146" s="7" t="s">
        <v>542</v>
      </c>
      <c r="K146" s="17">
        <v>37</v>
      </c>
      <c r="L146" t="str">
        <f ca="1">+IF(TODAY()-ICETEX[[#This Row],[fecha_ultimo_movimiento]]&gt;360,"Inactivo","Activo")</f>
        <v>Activo</v>
      </c>
      <c r="M146" s="24">
        <f>+VLOOKUP(ICETEX[[#This Row],[fecha_ultimo_movimiento]],UVR!A:B,2,0)</f>
        <v>389.6003</v>
      </c>
      <c r="N146" s="24">
        <v>252</v>
      </c>
      <c r="O146" t="s">
        <v>3264</v>
      </c>
    </row>
    <row r="147" spans="1:15" ht="15" thickBot="1">
      <c r="A147" s="6">
        <v>146</v>
      </c>
      <c r="B147" s="1" t="s">
        <v>543</v>
      </c>
      <c r="C147" s="1" t="s">
        <v>544</v>
      </c>
      <c r="D147" s="2">
        <v>103101631</v>
      </c>
      <c r="E147" s="1" t="s">
        <v>45</v>
      </c>
      <c r="F147" s="25">
        <v>189186.04</v>
      </c>
      <c r="G147" s="4">
        <v>45342</v>
      </c>
      <c r="H147" s="4">
        <v>43306</v>
      </c>
      <c r="I147" s="1" t="s">
        <v>545</v>
      </c>
      <c r="J147" s="7" t="s">
        <v>546</v>
      </c>
      <c r="K147" s="17">
        <v>495</v>
      </c>
      <c r="L147" t="str">
        <f ca="1">+IF(TODAY()-ICETEX[[#This Row],[fecha_ultimo_movimiento]]&gt;360,"Inactivo","Activo")</f>
        <v>Inactivo</v>
      </c>
      <c r="M147" s="24">
        <f>+VLOOKUP(ICETEX[[#This Row],[fecha_ultimo_movimiento]],UVR!A:B,2,0)</f>
        <v>360.82810000000001</v>
      </c>
      <c r="N147" s="24">
        <v>524</v>
      </c>
      <c r="O147" t="s">
        <v>3264</v>
      </c>
    </row>
    <row r="148" spans="1:15" ht="15" thickBot="1">
      <c r="A148" s="6">
        <v>147</v>
      </c>
      <c r="B148" s="1" t="s">
        <v>547</v>
      </c>
      <c r="C148" s="1" t="s">
        <v>548</v>
      </c>
      <c r="D148" s="2">
        <v>265470158</v>
      </c>
      <c r="E148" s="1" t="s">
        <v>45</v>
      </c>
      <c r="F148" s="25">
        <v>215713.4</v>
      </c>
      <c r="G148" s="4">
        <v>45382</v>
      </c>
      <c r="H148" s="4">
        <v>43454</v>
      </c>
      <c r="I148" s="1" t="s">
        <v>549</v>
      </c>
      <c r="J148" s="8" t="s">
        <v>550</v>
      </c>
      <c r="K148" s="17">
        <v>455</v>
      </c>
      <c r="L148" t="str">
        <f ca="1">+IF(TODAY()-ICETEX[[#This Row],[fecha_ultimo_movimiento]]&gt;360,"Inactivo","Activo")</f>
        <v>Inactivo</v>
      </c>
      <c r="M148" s="24">
        <f>+VLOOKUP(ICETEX[[#This Row],[fecha_ultimo_movimiento]],UVR!A:B,2,0)</f>
        <v>365.61320000000001</v>
      </c>
      <c r="N148" s="24">
        <v>590</v>
      </c>
      <c r="O148" t="s">
        <v>3264</v>
      </c>
    </row>
    <row r="149" spans="1:15" ht="15" thickBot="1">
      <c r="A149" s="6">
        <v>148</v>
      </c>
      <c r="B149" s="1" t="s">
        <v>551</v>
      </c>
      <c r="C149" s="1" t="s">
        <v>552</v>
      </c>
      <c r="D149" s="2">
        <v>111900510</v>
      </c>
      <c r="E149" s="1" t="s">
        <v>45</v>
      </c>
      <c r="F149" s="25">
        <v>192261.95</v>
      </c>
      <c r="G149" s="4">
        <v>44624</v>
      </c>
      <c r="H149" s="4">
        <v>43338</v>
      </c>
      <c r="I149" s="1" t="s">
        <v>13</v>
      </c>
      <c r="J149" s="7" t="s">
        <v>553</v>
      </c>
      <c r="K149" s="17">
        <v>1213</v>
      </c>
      <c r="L149" t="str">
        <f ca="1">+IF(TODAY()-ICETEX[[#This Row],[fecha_ultimo_movimiento]]&gt;360,"Inactivo","Activo")</f>
        <v>Inactivo</v>
      </c>
      <c r="M149" s="24">
        <f>+VLOOKUP(ICETEX[[#This Row],[fecha_ultimo_movimiento]],UVR!A:B,2,0)</f>
        <v>294.37380000000002</v>
      </c>
      <c r="N149" s="24">
        <v>653</v>
      </c>
      <c r="O149" t="s">
        <v>3264</v>
      </c>
    </row>
    <row r="150" spans="1:15" ht="15" thickBot="1">
      <c r="A150" s="6">
        <v>149</v>
      </c>
      <c r="B150" s="1" t="s">
        <v>554</v>
      </c>
      <c r="C150" s="1" t="s">
        <v>555</v>
      </c>
      <c r="D150" s="2">
        <v>53185079</v>
      </c>
      <c r="E150" s="1" t="s">
        <v>45</v>
      </c>
      <c r="F150" s="25">
        <v>128915.27</v>
      </c>
      <c r="G150" s="4">
        <v>45022</v>
      </c>
      <c r="H150" s="4">
        <v>43217</v>
      </c>
      <c r="I150" s="1" t="s">
        <v>177</v>
      </c>
      <c r="J150" s="7" t="s">
        <v>556</v>
      </c>
      <c r="K150" s="17">
        <v>815</v>
      </c>
      <c r="L150" t="str">
        <f ca="1">+IF(TODAY()-ICETEX[[#This Row],[fecha_ultimo_movimiento]]&gt;360,"Inactivo","Activo")</f>
        <v>Inactivo</v>
      </c>
      <c r="M150" s="24">
        <f>+VLOOKUP(ICETEX[[#This Row],[fecha_ultimo_movimiento]],UVR!A:B,2,0)</f>
        <v>339.5147</v>
      </c>
      <c r="N150" s="24">
        <v>380</v>
      </c>
      <c r="O150" t="s">
        <v>3264</v>
      </c>
    </row>
    <row r="151" spans="1:15" ht="15" thickBot="1">
      <c r="A151" s="6">
        <v>150</v>
      </c>
      <c r="B151" s="1" t="s">
        <v>557</v>
      </c>
      <c r="C151" s="1" t="s">
        <v>558</v>
      </c>
      <c r="D151" s="2">
        <v>11900254</v>
      </c>
      <c r="E151" s="1" t="s">
        <v>45</v>
      </c>
      <c r="F151" s="25">
        <v>213883.53</v>
      </c>
      <c r="G151" s="4">
        <v>44635</v>
      </c>
      <c r="H151" s="4">
        <v>42733</v>
      </c>
      <c r="I151" s="1" t="s">
        <v>13</v>
      </c>
      <c r="J151" s="7" t="s">
        <v>559</v>
      </c>
      <c r="K151" s="17">
        <v>1202</v>
      </c>
      <c r="L151" t="str">
        <f ca="1">+IF(TODAY()-ICETEX[[#This Row],[fecha_ultimo_movimiento]]&gt;360,"Inactivo","Activo")</f>
        <v>Inactivo</v>
      </c>
      <c r="M151" s="24">
        <f>+VLOOKUP(ICETEX[[#This Row],[fecha_ultimo_movimiento]],UVR!A:B,2,0)</f>
        <v>296.29539999999997</v>
      </c>
      <c r="N151" s="24">
        <v>722</v>
      </c>
      <c r="O151" t="s">
        <v>3264</v>
      </c>
    </row>
    <row r="152" spans="1:15" ht="15" thickBot="1">
      <c r="A152" s="6">
        <v>151</v>
      </c>
      <c r="B152" s="1" t="s">
        <v>560</v>
      </c>
      <c r="C152" s="1" t="s">
        <v>561</v>
      </c>
      <c r="D152" s="2">
        <v>91917681</v>
      </c>
      <c r="E152" s="1" t="s">
        <v>45</v>
      </c>
      <c r="F152" s="25">
        <v>42941.86</v>
      </c>
      <c r="G152" s="4">
        <v>45475</v>
      </c>
      <c r="H152" s="4">
        <v>43382</v>
      </c>
      <c r="I152" s="1" t="s">
        <v>562</v>
      </c>
      <c r="J152" s="7" t="s">
        <v>563</v>
      </c>
      <c r="K152" s="17">
        <v>362</v>
      </c>
      <c r="L152" t="str">
        <f ca="1">+IF(TODAY()-ICETEX[[#This Row],[fecha_ultimo_movimiento]]&gt;360,"Inactivo","Activo")</f>
        <v>Inactivo</v>
      </c>
      <c r="M152" s="24">
        <f>+VLOOKUP(ICETEX[[#This Row],[fecha_ultimo_movimiento]],UVR!A:B,2,0)</f>
        <v>373.19880000000001</v>
      </c>
      <c r="N152" s="24">
        <v>115</v>
      </c>
      <c r="O152" t="s">
        <v>3264</v>
      </c>
    </row>
    <row r="153" spans="1:15" ht="15" thickBot="1">
      <c r="A153" s="6">
        <v>152</v>
      </c>
      <c r="B153" s="1" t="s">
        <v>564</v>
      </c>
      <c r="C153" s="1" t="s">
        <v>565</v>
      </c>
      <c r="D153" s="2">
        <v>123206817</v>
      </c>
      <c r="E153" s="1" t="s">
        <v>12</v>
      </c>
      <c r="F153" s="25">
        <v>142405.79999999999</v>
      </c>
      <c r="G153" s="4">
        <v>43970</v>
      </c>
      <c r="H153" s="4">
        <v>43026</v>
      </c>
      <c r="I153" s="1" t="s">
        <v>263</v>
      </c>
      <c r="J153" s="7" t="s">
        <v>566</v>
      </c>
      <c r="K153" s="17">
        <v>1867</v>
      </c>
      <c r="L153" t="str">
        <f ca="1">+IF(TODAY()-ICETEX[[#This Row],[fecha_ultimo_movimiento]]&gt;360,"Inactivo","Activo")</f>
        <v>Inactivo</v>
      </c>
      <c r="M153" s="24">
        <f>+VLOOKUP(ICETEX[[#This Row],[fecha_ultimo_movimiento]],UVR!A:B,2,0)</f>
        <v>276.13760000000002</v>
      </c>
      <c r="N153" s="24">
        <v>516</v>
      </c>
      <c r="O153" t="s">
        <v>3264</v>
      </c>
    </row>
    <row r="154" spans="1:15" ht="15" thickBot="1">
      <c r="A154" s="6">
        <v>153</v>
      </c>
      <c r="B154" s="1" t="s">
        <v>567</v>
      </c>
      <c r="C154" s="1" t="s">
        <v>568</v>
      </c>
      <c r="D154" s="2">
        <v>26002927</v>
      </c>
      <c r="E154" s="1" t="s">
        <v>45</v>
      </c>
      <c r="F154" s="25">
        <v>41763.160000000003</v>
      </c>
      <c r="G154" s="4">
        <v>44489</v>
      </c>
      <c r="H154" s="4">
        <v>42513</v>
      </c>
      <c r="I154" s="1" t="s">
        <v>100</v>
      </c>
      <c r="J154" s="7" t="s">
        <v>569</v>
      </c>
      <c r="K154" s="17">
        <v>1348</v>
      </c>
      <c r="L154" t="str">
        <f ca="1">+IF(TODAY()-ICETEX[[#This Row],[fecha_ultimo_movimiento]]&gt;360,"Inactivo","Activo")</f>
        <v>Inactivo</v>
      </c>
      <c r="M154" s="24">
        <f>+VLOOKUP(ICETEX[[#This Row],[fecha_ultimo_movimiento]],UVR!A:B,2,0)</f>
        <v>286.9341</v>
      </c>
      <c r="N154" s="24">
        <v>146</v>
      </c>
      <c r="O154" t="s">
        <v>3265</v>
      </c>
    </row>
    <row r="155" spans="1:15" ht="15" thickBot="1">
      <c r="A155" s="6">
        <v>154</v>
      </c>
      <c r="B155" s="1" t="s">
        <v>570</v>
      </c>
      <c r="C155" s="1" t="s">
        <v>571</v>
      </c>
      <c r="D155" s="2">
        <v>123002011</v>
      </c>
      <c r="E155" s="1" t="s">
        <v>12</v>
      </c>
      <c r="F155" s="25">
        <v>169513.47</v>
      </c>
      <c r="G155" s="4">
        <v>44566</v>
      </c>
      <c r="H155" s="4">
        <v>42437</v>
      </c>
      <c r="I155" s="1" t="s">
        <v>96</v>
      </c>
      <c r="J155" s="7" t="s">
        <v>572</v>
      </c>
      <c r="K155" s="17">
        <v>1271</v>
      </c>
      <c r="L155" t="str">
        <f ca="1">+IF(TODAY()-ICETEX[[#This Row],[fecha_ultimo_movimiento]]&gt;360,"Inactivo","Activo")</f>
        <v>Inactivo</v>
      </c>
      <c r="M155" s="24">
        <f>+VLOOKUP(ICETEX[[#This Row],[fecha_ultimo_movimiento]],UVR!A:B,2,0)</f>
        <v>288.85140000000001</v>
      </c>
      <c r="N155" s="24">
        <v>587</v>
      </c>
      <c r="O155" t="s">
        <v>3264</v>
      </c>
    </row>
    <row r="156" spans="1:15" ht="15" thickBot="1">
      <c r="A156" s="6">
        <v>155</v>
      </c>
      <c r="B156" s="1" t="s">
        <v>573</v>
      </c>
      <c r="C156" s="1" t="s">
        <v>574</v>
      </c>
      <c r="D156" s="2">
        <v>211174343</v>
      </c>
      <c r="E156" s="1" t="s">
        <v>12</v>
      </c>
      <c r="F156" s="25">
        <v>53494.07</v>
      </c>
      <c r="G156" s="4">
        <v>44655</v>
      </c>
      <c r="H156" s="4">
        <v>42386</v>
      </c>
      <c r="I156" s="1" t="s">
        <v>415</v>
      </c>
      <c r="J156" s="7" t="s">
        <v>575</v>
      </c>
      <c r="K156" s="17">
        <v>1182</v>
      </c>
      <c r="L156" t="str">
        <f ca="1">+IF(TODAY()-ICETEX[[#This Row],[fecha_ultimo_movimiento]]&gt;360,"Inactivo","Activo")</f>
        <v>Inactivo</v>
      </c>
      <c r="M156" s="24">
        <f>+VLOOKUP(ICETEX[[#This Row],[fecha_ultimo_movimiento]],UVR!A:B,2,0)</f>
        <v>299.40230000000003</v>
      </c>
      <c r="N156" s="24">
        <v>179</v>
      </c>
      <c r="O156" t="s">
        <v>3265</v>
      </c>
    </row>
    <row r="157" spans="1:15" ht="15" thickBot="1">
      <c r="A157" s="6">
        <v>156</v>
      </c>
      <c r="B157" s="1" t="s">
        <v>576</v>
      </c>
      <c r="C157" s="1" t="s">
        <v>577</v>
      </c>
      <c r="D157" s="2">
        <v>43304239</v>
      </c>
      <c r="E157" s="1" t="s">
        <v>12</v>
      </c>
      <c r="F157" s="25">
        <v>79913.11</v>
      </c>
      <c r="G157" s="4">
        <v>45673</v>
      </c>
      <c r="H157" s="4">
        <v>42932</v>
      </c>
      <c r="I157" s="1" t="s">
        <v>88</v>
      </c>
      <c r="J157" s="7" t="s">
        <v>578</v>
      </c>
      <c r="K157" s="17">
        <v>164</v>
      </c>
      <c r="L157" t="str">
        <f ca="1">+IF(TODAY()-ICETEX[[#This Row],[fecha_ultimo_movimiento]]&gt;360,"Inactivo","Activo")</f>
        <v>Activo</v>
      </c>
      <c r="M157" s="24">
        <f>+VLOOKUP(ICETEX[[#This Row],[fecha_ultimo_movimiento]],UVR!A:B,2,0)</f>
        <v>377.32409999999999</v>
      </c>
      <c r="N157" s="24">
        <v>212</v>
      </c>
      <c r="O157" t="s">
        <v>3264</v>
      </c>
    </row>
    <row r="158" spans="1:15" ht="15" thickBot="1">
      <c r="A158" s="6">
        <v>157</v>
      </c>
      <c r="B158" s="1" t="s">
        <v>579</v>
      </c>
      <c r="C158" s="1" t="s">
        <v>580</v>
      </c>
      <c r="D158" s="2">
        <v>211272504</v>
      </c>
      <c r="E158" s="1" t="s">
        <v>12</v>
      </c>
      <c r="F158" s="25">
        <v>80005.210000000006</v>
      </c>
      <c r="G158" s="4">
        <v>44165</v>
      </c>
      <c r="H158" s="4">
        <v>43421</v>
      </c>
      <c r="I158" s="1" t="s">
        <v>581</v>
      </c>
      <c r="J158" s="7" t="s">
        <v>582</v>
      </c>
      <c r="K158" s="17">
        <v>1672</v>
      </c>
      <c r="L158" t="str">
        <f ca="1">+IF(TODAY()-ICETEX[[#This Row],[fecha_ultimo_movimiento]]&gt;360,"Inactivo","Activo")</f>
        <v>Inactivo</v>
      </c>
      <c r="M158" s="24">
        <f>+VLOOKUP(ICETEX[[#This Row],[fecha_ultimo_movimiento]],UVR!A:B,2,0)</f>
        <v>275.35849999999999</v>
      </c>
      <c r="N158" s="24">
        <v>291</v>
      </c>
      <c r="O158" t="s">
        <v>3265</v>
      </c>
    </row>
    <row r="159" spans="1:15" ht="15" thickBot="1">
      <c r="A159" s="6">
        <v>158</v>
      </c>
      <c r="B159" s="1" t="s">
        <v>583</v>
      </c>
      <c r="C159" s="1" t="s">
        <v>584</v>
      </c>
      <c r="D159" s="2">
        <v>84204301</v>
      </c>
      <c r="E159" s="1" t="s">
        <v>45</v>
      </c>
      <c r="F159" s="25">
        <v>20834</v>
      </c>
      <c r="G159" s="4">
        <v>44490</v>
      </c>
      <c r="H159" s="4">
        <v>42422</v>
      </c>
      <c r="I159" s="1" t="s">
        <v>274</v>
      </c>
      <c r="J159" s="7" t="s">
        <v>585</v>
      </c>
      <c r="K159" s="17">
        <v>1347</v>
      </c>
      <c r="L159" t="str">
        <f ca="1">+IF(TODAY()-ICETEX[[#This Row],[fecha_ultimo_movimiento]]&gt;360,"Inactivo","Activo")</f>
        <v>Inactivo</v>
      </c>
      <c r="M159" s="24">
        <f>+VLOOKUP(ICETEX[[#This Row],[fecha_ultimo_movimiento]],UVR!A:B,2,0)</f>
        <v>286.9692</v>
      </c>
      <c r="N159" s="24">
        <v>73</v>
      </c>
      <c r="O159" t="s">
        <v>3265</v>
      </c>
    </row>
    <row r="160" spans="1:15" ht="15" thickBot="1">
      <c r="A160" s="6">
        <v>159</v>
      </c>
      <c r="B160" s="1" t="s">
        <v>586</v>
      </c>
      <c r="C160" s="1" t="s">
        <v>587</v>
      </c>
      <c r="D160" s="2">
        <v>113110641</v>
      </c>
      <c r="E160" s="1" t="s">
        <v>45</v>
      </c>
      <c r="F160" s="25">
        <v>129762.49</v>
      </c>
      <c r="G160" s="4">
        <v>44790</v>
      </c>
      <c r="H160" s="4">
        <v>42464</v>
      </c>
      <c r="I160" s="1" t="s">
        <v>588</v>
      </c>
      <c r="J160" s="7" t="s">
        <v>589</v>
      </c>
      <c r="K160" s="17">
        <v>1047</v>
      </c>
      <c r="L160" t="str">
        <f ca="1">+IF(TODAY()-ICETEX[[#This Row],[fecha_ultimo_movimiento]]&gt;360,"Inactivo","Activo")</f>
        <v>Inactivo</v>
      </c>
      <c r="M160" s="24">
        <f>+VLOOKUP(ICETEX[[#This Row],[fecha_ultimo_movimiento]],UVR!A:B,2,0)</f>
        <v>312.27089999999998</v>
      </c>
      <c r="N160" s="24">
        <v>416</v>
      </c>
      <c r="O160" t="s">
        <v>3264</v>
      </c>
    </row>
    <row r="161" spans="1:15" ht="15" thickBot="1">
      <c r="A161" s="6">
        <v>160</v>
      </c>
      <c r="B161" s="1" t="s">
        <v>590</v>
      </c>
      <c r="C161" s="1" t="s">
        <v>591</v>
      </c>
      <c r="D161" s="2">
        <v>111000038</v>
      </c>
      <c r="E161" s="1" t="s">
        <v>45</v>
      </c>
      <c r="F161" s="25">
        <v>120635.86</v>
      </c>
      <c r="G161" s="4">
        <v>43925</v>
      </c>
      <c r="H161" s="4">
        <v>42562</v>
      </c>
      <c r="I161" s="1" t="s">
        <v>217</v>
      </c>
      <c r="J161" s="7" t="s">
        <v>592</v>
      </c>
      <c r="K161" s="17">
        <v>1912</v>
      </c>
      <c r="L161" t="str">
        <f ca="1">+IF(TODAY()-ICETEX[[#This Row],[fecha_ultimo_movimiento]]&gt;360,"Inactivo","Activo")</f>
        <v>Inactivo</v>
      </c>
      <c r="M161" s="24">
        <f>+VLOOKUP(ICETEX[[#This Row],[fecha_ultimo_movimiento]],UVR!A:B,2,0)</f>
        <v>273.86619999999999</v>
      </c>
      <c r="N161" s="24">
        <v>440</v>
      </c>
      <c r="O161" t="s">
        <v>3264</v>
      </c>
    </row>
    <row r="162" spans="1:15" ht="15" thickBot="1">
      <c r="A162" s="6">
        <v>161</v>
      </c>
      <c r="B162" s="1" t="s">
        <v>593</v>
      </c>
      <c r="C162" s="1" t="s">
        <v>594</v>
      </c>
      <c r="D162" s="2">
        <v>44102362</v>
      </c>
      <c r="E162" s="1" t="s">
        <v>45</v>
      </c>
      <c r="F162" s="25">
        <v>111311.43</v>
      </c>
      <c r="G162" s="4">
        <v>44222</v>
      </c>
      <c r="H162" s="4">
        <v>42484</v>
      </c>
      <c r="I162" s="1" t="s">
        <v>37</v>
      </c>
      <c r="J162" s="7" t="s">
        <v>595</v>
      </c>
      <c r="K162" s="17">
        <v>1615</v>
      </c>
      <c r="L162" t="str">
        <f ca="1">+IF(TODAY()-ICETEX[[#This Row],[fecha_ultimo_movimiento]]&gt;360,"Inactivo","Activo")</f>
        <v>Inactivo</v>
      </c>
      <c r="M162" s="24">
        <f>+VLOOKUP(ICETEX[[#This Row],[fecha_ultimo_movimiento]],UVR!A:B,2,0)</f>
        <v>275.23309999999998</v>
      </c>
      <c r="N162" s="24">
        <v>404</v>
      </c>
      <c r="O162" t="s">
        <v>3264</v>
      </c>
    </row>
    <row r="163" spans="1:15" ht="15" thickBot="1">
      <c r="A163" s="6">
        <v>162</v>
      </c>
      <c r="B163" s="1" t="s">
        <v>596</v>
      </c>
      <c r="C163" s="1" t="s">
        <v>597</v>
      </c>
      <c r="D163" s="2">
        <v>122240308</v>
      </c>
      <c r="E163" s="1" t="s">
        <v>45</v>
      </c>
      <c r="F163" s="25">
        <v>139934.19</v>
      </c>
      <c r="G163" s="4">
        <v>44904</v>
      </c>
      <c r="H163" s="4">
        <v>42917</v>
      </c>
      <c r="I163" s="1" t="s">
        <v>58</v>
      </c>
      <c r="J163" s="7" t="s">
        <v>598</v>
      </c>
      <c r="K163" s="17">
        <v>933</v>
      </c>
      <c r="L163" t="str">
        <f ca="1">+IF(TODAY()-ICETEX[[#This Row],[fecha_ultimo_movimiento]]&gt;360,"Inactivo","Activo")</f>
        <v>Inactivo</v>
      </c>
      <c r="M163" s="24">
        <f>+VLOOKUP(ICETEX[[#This Row],[fecha_ultimo_movimiento]],UVR!A:B,2,0)</f>
        <v>322.64830000000001</v>
      </c>
      <c r="N163" s="24">
        <v>434</v>
      </c>
      <c r="O163" t="s">
        <v>3264</v>
      </c>
    </row>
    <row r="164" spans="1:15" ht="15" thickBot="1">
      <c r="A164" s="6">
        <v>163</v>
      </c>
      <c r="B164" s="1" t="s">
        <v>599</v>
      </c>
      <c r="C164" s="1" t="s">
        <v>600</v>
      </c>
      <c r="D164" s="2">
        <v>121182014</v>
      </c>
      <c r="E164" s="1" t="s">
        <v>45</v>
      </c>
      <c r="F164" s="25">
        <v>157240.79</v>
      </c>
      <c r="G164" s="4">
        <v>44737</v>
      </c>
      <c r="H164" s="4">
        <v>43356</v>
      </c>
      <c r="I164" s="1" t="s">
        <v>108</v>
      </c>
      <c r="J164" s="7" t="s">
        <v>601</v>
      </c>
      <c r="K164" s="17">
        <v>1100</v>
      </c>
      <c r="L164" t="str">
        <f ca="1">+IF(TODAY()-ICETEX[[#This Row],[fecha_ultimo_movimiento]]&gt;360,"Inactivo","Activo")</f>
        <v>Inactivo</v>
      </c>
      <c r="M164" s="24">
        <f>+VLOOKUP(ICETEX[[#This Row],[fecha_ultimo_movimiento]],UVR!A:B,2,0)</f>
        <v>308.7978</v>
      </c>
      <c r="N164" s="24">
        <v>509</v>
      </c>
      <c r="O164" t="s">
        <v>3264</v>
      </c>
    </row>
    <row r="165" spans="1:15" ht="15" thickBot="1">
      <c r="A165" s="6">
        <v>164</v>
      </c>
      <c r="B165" s="1" t="s">
        <v>602</v>
      </c>
      <c r="C165" s="1" t="s">
        <v>603</v>
      </c>
      <c r="D165" s="2">
        <v>11900254</v>
      </c>
      <c r="E165" s="1" t="s">
        <v>12</v>
      </c>
      <c r="F165" s="25">
        <v>206821.66</v>
      </c>
      <c r="G165" s="4">
        <v>44795</v>
      </c>
      <c r="H165" s="4">
        <v>43090</v>
      </c>
      <c r="I165" s="1" t="s">
        <v>13</v>
      </c>
      <c r="J165" s="7" t="s">
        <v>604</v>
      </c>
      <c r="K165" s="17">
        <v>1042</v>
      </c>
      <c r="L165" t="str">
        <f ca="1">+IF(TODAY()-ICETEX[[#This Row],[fecha_ultimo_movimiento]]&gt;360,"Inactivo","Activo")</f>
        <v>Inactivo</v>
      </c>
      <c r="M165" s="24">
        <f>+VLOOKUP(ICETEX[[#This Row],[fecha_ultimo_movimiento]],UVR!A:B,2,0)</f>
        <v>312.67750000000001</v>
      </c>
      <c r="N165" s="24">
        <v>661</v>
      </c>
      <c r="O165" t="s">
        <v>3264</v>
      </c>
    </row>
    <row r="166" spans="1:15" ht="15" thickBot="1">
      <c r="A166" s="6">
        <v>165</v>
      </c>
      <c r="B166" s="1" t="s">
        <v>605</v>
      </c>
      <c r="C166" s="1" t="s">
        <v>606</v>
      </c>
      <c r="D166" s="2">
        <v>221271090</v>
      </c>
      <c r="E166" s="1" t="s">
        <v>45</v>
      </c>
      <c r="F166" s="25">
        <v>55019.05</v>
      </c>
      <c r="G166" s="4">
        <v>44641</v>
      </c>
      <c r="H166" s="4">
        <v>42586</v>
      </c>
      <c r="I166" s="1" t="s">
        <v>447</v>
      </c>
      <c r="J166" s="7" t="s">
        <v>607</v>
      </c>
      <c r="K166" s="17">
        <v>1196</v>
      </c>
      <c r="L166" t="str">
        <f ca="1">+IF(TODAY()-ICETEX[[#This Row],[fecha_ultimo_movimiento]]&gt;360,"Inactivo","Activo")</f>
        <v>Inactivo</v>
      </c>
      <c r="M166" s="24">
        <f>+VLOOKUP(ICETEX[[#This Row],[fecha_ultimo_movimiento]],UVR!A:B,2,0)</f>
        <v>297.22410000000002</v>
      </c>
      <c r="N166" s="24">
        <v>185</v>
      </c>
      <c r="O166" t="s">
        <v>3265</v>
      </c>
    </row>
    <row r="167" spans="1:15" ht="15" thickBot="1">
      <c r="A167" s="6">
        <v>166</v>
      </c>
      <c r="B167" s="1" t="s">
        <v>608</v>
      </c>
      <c r="C167" s="1" t="s">
        <v>609</v>
      </c>
      <c r="D167" s="2">
        <v>53201814</v>
      </c>
      <c r="E167" s="1" t="s">
        <v>12</v>
      </c>
      <c r="F167" s="25">
        <v>128858.56</v>
      </c>
      <c r="G167" s="4">
        <v>45187</v>
      </c>
      <c r="H167" s="4">
        <v>42632</v>
      </c>
      <c r="I167" s="1" t="s">
        <v>25</v>
      </c>
      <c r="J167" s="8" t="s">
        <v>610</v>
      </c>
      <c r="K167" s="17">
        <v>650</v>
      </c>
      <c r="L167" t="str">
        <f ca="1">+IF(TODAY()-ICETEX[[#This Row],[fecha_ultimo_movimiento]]&gt;360,"Inactivo","Activo")</f>
        <v>Inactivo</v>
      </c>
      <c r="M167" s="24">
        <f>+VLOOKUP(ICETEX[[#This Row],[fecha_ultimo_movimiento]],UVR!A:B,2,0)</f>
        <v>351.94799999999998</v>
      </c>
      <c r="N167" s="24">
        <v>366</v>
      </c>
      <c r="O167" t="s">
        <v>3264</v>
      </c>
    </row>
    <row r="168" spans="1:15" ht="15" thickBot="1">
      <c r="A168" s="6">
        <v>167</v>
      </c>
      <c r="B168" s="1" t="s">
        <v>611</v>
      </c>
      <c r="C168" s="1" t="s">
        <v>612</v>
      </c>
      <c r="D168" s="2">
        <v>111317637</v>
      </c>
      <c r="E168" s="1" t="s">
        <v>12</v>
      </c>
      <c r="F168" s="25">
        <v>58402.63</v>
      </c>
      <c r="G168" s="4">
        <v>44353</v>
      </c>
      <c r="H168" s="4">
        <v>43117</v>
      </c>
      <c r="I168" s="1" t="s">
        <v>613</v>
      </c>
      <c r="J168" s="7" t="s">
        <v>614</v>
      </c>
      <c r="K168" s="17">
        <v>1484</v>
      </c>
      <c r="L168" t="str">
        <f ca="1">+IF(TODAY()-ICETEX[[#This Row],[fecha_ultimo_movimiento]]&gt;360,"Inactivo","Activo")</f>
        <v>Inactivo</v>
      </c>
      <c r="M168" s="24">
        <f>+VLOOKUP(ICETEX[[#This Row],[fecha_ultimo_movimiento]],UVR!A:B,2,0)</f>
        <v>281.40589999999997</v>
      </c>
      <c r="N168" s="24">
        <v>208</v>
      </c>
      <c r="O168" t="s">
        <v>3265</v>
      </c>
    </row>
    <row r="169" spans="1:15" ht="15" thickBot="1">
      <c r="A169" s="6">
        <v>168</v>
      </c>
      <c r="B169" s="1" t="s">
        <v>615</v>
      </c>
      <c r="C169" s="1" t="s">
        <v>616</v>
      </c>
      <c r="D169" s="2">
        <v>81905182</v>
      </c>
      <c r="E169" s="1" t="s">
        <v>12</v>
      </c>
      <c r="F169" s="25">
        <v>212096.2</v>
      </c>
      <c r="G169" s="4">
        <v>45139</v>
      </c>
      <c r="H169" s="4">
        <v>43016</v>
      </c>
      <c r="I169" s="1" t="s">
        <v>617</v>
      </c>
      <c r="J169" s="7" t="s">
        <v>618</v>
      </c>
      <c r="K169" s="17">
        <v>698</v>
      </c>
      <c r="L169" t="str">
        <f ca="1">+IF(TODAY()-ICETEX[[#This Row],[fecha_ultimo_movimiento]]&gt;360,"Inactivo","Activo")</f>
        <v>Inactivo</v>
      </c>
      <c r="M169" s="24">
        <f>+VLOOKUP(ICETEX[[#This Row],[fecha_ultimo_movimiento]],UVR!A:B,2,0)</f>
        <v>349.47969999999998</v>
      </c>
      <c r="N169" s="24">
        <v>607</v>
      </c>
      <c r="O169" t="s">
        <v>3264</v>
      </c>
    </row>
    <row r="170" spans="1:15" ht="15" thickBot="1">
      <c r="A170" s="6">
        <v>169</v>
      </c>
      <c r="B170" s="1" t="s">
        <v>619</v>
      </c>
      <c r="C170" s="1" t="s">
        <v>620</v>
      </c>
      <c r="D170" s="2">
        <v>42102018</v>
      </c>
      <c r="E170" s="1" t="s">
        <v>45</v>
      </c>
      <c r="F170" s="25">
        <v>56944.45</v>
      </c>
      <c r="G170" s="4">
        <v>45609</v>
      </c>
      <c r="H170" s="4">
        <v>42648</v>
      </c>
      <c r="I170" s="1" t="s">
        <v>621</v>
      </c>
      <c r="J170" s="7" t="s">
        <v>622</v>
      </c>
      <c r="K170" s="17">
        <v>228</v>
      </c>
      <c r="L170" t="str">
        <f ca="1">+IF(TODAY()-ICETEX[[#This Row],[fecha_ultimo_movimiento]]&gt;360,"Inactivo","Activo")</f>
        <v>Activo</v>
      </c>
      <c r="M170" s="24">
        <f>+VLOOKUP(ICETEX[[#This Row],[fecha_ultimo_movimiento]],UVR!A:B,2,0)</f>
        <v>376.68389999999999</v>
      </c>
      <c r="N170" s="24">
        <v>151</v>
      </c>
      <c r="O170" t="s">
        <v>3264</v>
      </c>
    </row>
    <row r="171" spans="1:15" ht="15" thickBot="1">
      <c r="A171" s="6">
        <v>170</v>
      </c>
      <c r="B171" s="1" t="s">
        <v>623</v>
      </c>
      <c r="C171" s="1" t="s">
        <v>624</v>
      </c>
      <c r="D171" s="2">
        <v>63113772</v>
      </c>
      <c r="E171" s="1" t="s">
        <v>45</v>
      </c>
      <c r="F171" s="25">
        <v>108467.53</v>
      </c>
      <c r="G171" s="4">
        <v>45622</v>
      </c>
      <c r="H171" s="4">
        <v>42555</v>
      </c>
      <c r="I171" s="1" t="s">
        <v>625</v>
      </c>
      <c r="J171" s="7" t="s">
        <v>626</v>
      </c>
      <c r="K171" s="17">
        <v>215</v>
      </c>
      <c r="L171" t="str">
        <f ca="1">+IF(TODAY()-ICETEX[[#This Row],[fecha_ultimo_movimiento]]&gt;360,"Inactivo","Activo")</f>
        <v>Activo</v>
      </c>
      <c r="M171" s="24">
        <f>+VLOOKUP(ICETEX[[#This Row],[fecha_ultimo_movimiento]],UVR!A:B,2,0)</f>
        <v>376.56240000000003</v>
      </c>
      <c r="N171" s="24">
        <v>288</v>
      </c>
      <c r="O171" t="s">
        <v>3264</v>
      </c>
    </row>
    <row r="172" spans="1:15" ht="15" thickBot="1">
      <c r="A172" s="6">
        <v>171</v>
      </c>
      <c r="B172" s="1" t="s">
        <v>627</v>
      </c>
      <c r="C172" s="1" t="s">
        <v>628</v>
      </c>
      <c r="D172" s="2">
        <v>67012413</v>
      </c>
      <c r="E172" s="1" t="s">
        <v>45</v>
      </c>
      <c r="F172" s="25">
        <v>180216.76</v>
      </c>
      <c r="G172" s="4">
        <v>45333</v>
      </c>
      <c r="H172" s="4">
        <v>42841</v>
      </c>
      <c r="I172" s="1" t="s">
        <v>629</v>
      </c>
      <c r="J172" s="7" t="s">
        <v>630</v>
      </c>
      <c r="K172" s="17">
        <v>504</v>
      </c>
      <c r="L172" t="str">
        <f ca="1">+IF(TODAY()-ICETEX[[#This Row],[fecha_ultimo_movimiento]]&gt;360,"Inactivo","Activo")</f>
        <v>Inactivo</v>
      </c>
      <c r="M172" s="24">
        <f>+VLOOKUP(ICETEX[[#This Row],[fecha_ultimo_movimiento]],UVR!A:B,2,0)</f>
        <v>360.05009999999999</v>
      </c>
      <c r="N172" s="24">
        <v>501</v>
      </c>
      <c r="O172" t="s">
        <v>3264</v>
      </c>
    </row>
    <row r="173" spans="1:15" ht="15" thickBot="1">
      <c r="A173" s="6">
        <v>172</v>
      </c>
      <c r="B173" s="1" t="s">
        <v>631</v>
      </c>
      <c r="C173" s="1" t="s">
        <v>632</v>
      </c>
      <c r="D173" s="2">
        <v>62104520</v>
      </c>
      <c r="E173" s="1" t="s">
        <v>12</v>
      </c>
      <c r="F173" s="25">
        <v>77455.929999999993</v>
      </c>
      <c r="G173" s="4">
        <v>45172</v>
      </c>
      <c r="H173" s="4">
        <v>43185</v>
      </c>
      <c r="I173" s="1" t="s">
        <v>633</v>
      </c>
      <c r="J173" s="7" t="s">
        <v>634</v>
      </c>
      <c r="K173" s="17">
        <v>665</v>
      </c>
      <c r="L173" t="str">
        <f ca="1">+IF(TODAY()-ICETEX[[#This Row],[fecha_ultimo_movimiento]]&gt;360,"Inactivo","Activo")</f>
        <v>Inactivo</v>
      </c>
      <c r="M173" s="24">
        <f>+VLOOKUP(ICETEX[[#This Row],[fecha_ultimo_movimiento]],UVR!A:B,2,0)</f>
        <v>351.02420000000001</v>
      </c>
      <c r="N173" s="24">
        <v>221</v>
      </c>
      <c r="O173" t="s">
        <v>3265</v>
      </c>
    </row>
    <row r="174" spans="1:15" ht="15" thickBot="1">
      <c r="A174" s="6">
        <v>173</v>
      </c>
      <c r="B174" s="1" t="s">
        <v>635</v>
      </c>
      <c r="C174" s="1" t="s">
        <v>636</v>
      </c>
      <c r="D174" s="2">
        <v>101109512</v>
      </c>
      <c r="E174" s="1" t="s">
        <v>12</v>
      </c>
      <c r="F174" s="25">
        <v>206376.98</v>
      </c>
      <c r="G174" s="4">
        <v>43850</v>
      </c>
      <c r="H174" s="4">
        <v>42801</v>
      </c>
      <c r="I174" s="1" t="s">
        <v>637</v>
      </c>
      <c r="J174" s="7" t="s">
        <v>638</v>
      </c>
      <c r="K174" s="17">
        <v>1987</v>
      </c>
      <c r="L174" t="str">
        <f ca="1">+IF(TODAY()-ICETEX[[#This Row],[fecha_ultimo_movimiento]]&gt;360,"Inactivo","Activo")</f>
        <v>Inactivo</v>
      </c>
      <c r="M174" s="24">
        <f>+VLOOKUP(ICETEX[[#This Row],[fecha_ultimo_movimiento]],UVR!A:B,2,0)</f>
        <v>270.95769999999999</v>
      </c>
      <c r="N174" s="24">
        <v>762</v>
      </c>
      <c r="O174" t="s">
        <v>3264</v>
      </c>
    </row>
    <row r="175" spans="1:15" ht="15" thickBot="1">
      <c r="A175" s="6">
        <v>174</v>
      </c>
      <c r="B175" s="1" t="s">
        <v>639</v>
      </c>
      <c r="C175" s="1" t="s">
        <v>640</v>
      </c>
      <c r="D175" s="2">
        <v>101105558</v>
      </c>
      <c r="E175" s="1" t="s">
        <v>12</v>
      </c>
      <c r="F175" s="25">
        <v>133170.49</v>
      </c>
      <c r="G175" s="4">
        <v>44667</v>
      </c>
      <c r="H175" s="4">
        <v>42636</v>
      </c>
      <c r="I175" s="1" t="s">
        <v>641</v>
      </c>
      <c r="J175" s="7" t="s">
        <v>642</v>
      </c>
      <c r="K175" s="17">
        <v>1170</v>
      </c>
      <c r="L175" t="str">
        <f ca="1">+IF(TODAY()-ICETEX[[#This Row],[fecha_ultimo_movimiento]]&gt;360,"Inactivo","Activo")</f>
        <v>Inactivo</v>
      </c>
      <c r="M175" s="24">
        <f>+VLOOKUP(ICETEX[[#This Row],[fecha_ultimo_movimiento]],UVR!A:B,2,0)</f>
        <v>301.22489999999999</v>
      </c>
      <c r="N175" s="24">
        <v>442</v>
      </c>
      <c r="O175" t="s">
        <v>3264</v>
      </c>
    </row>
    <row r="176" spans="1:15" ht="15" thickBot="1">
      <c r="A176" s="6">
        <v>175</v>
      </c>
      <c r="B176" s="1" t="s">
        <v>643</v>
      </c>
      <c r="C176" s="1" t="s">
        <v>644</v>
      </c>
      <c r="D176" s="2">
        <v>104000058</v>
      </c>
      <c r="E176" s="1" t="s">
        <v>12</v>
      </c>
      <c r="F176" s="25">
        <v>105546.58</v>
      </c>
      <c r="G176" s="4">
        <v>43853</v>
      </c>
      <c r="H176" s="4">
        <v>42639</v>
      </c>
      <c r="I176" s="1" t="s">
        <v>217</v>
      </c>
      <c r="J176" s="7" t="s">
        <v>645</v>
      </c>
      <c r="K176" s="17">
        <v>1984</v>
      </c>
      <c r="L176" t="str">
        <f ca="1">+IF(TODAY()-ICETEX[[#This Row],[fecha_ultimo_movimiento]]&gt;360,"Inactivo","Activo")</f>
        <v>Inactivo</v>
      </c>
      <c r="M176" s="24">
        <f>+VLOOKUP(ICETEX[[#This Row],[fecha_ultimo_movimiento]],UVR!A:B,2,0)</f>
        <v>271.0258</v>
      </c>
      <c r="N176" s="24">
        <v>389</v>
      </c>
      <c r="O176" t="s">
        <v>3264</v>
      </c>
    </row>
    <row r="177" spans="1:15" ht="15" thickBot="1">
      <c r="A177" s="6">
        <v>176</v>
      </c>
      <c r="B177" s="1" t="s">
        <v>646</v>
      </c>
      <c r="C177" s="1" t="s">
        <v>647</v>
      </c>
      <c r="D177" s="2">
        <v>113110379</v>
      </c>
      <c r="E177" s="1" t="s">
        <v>45</v>
      </c>
      <c r="F177" s="25">
        <v>142863.79999999999</v>
      </c>
      <c r="G177" s="4">
        <v>44326</v>
      </c>
      <c r="H177" s="4">
        <v>42537</v>
      </c>
      <c r="I177" s="1" t="s">
        <v>534</v>
      </c>
      <c r="J177" s="7" t="s">
        <v>648</v>
      </c>
      <c r="K177" s="17">
        <v>1511</v>
      </c>
      <c r="L177" t="str">
        <f ca="1">+IF(TODAY()-ICETEX[[#This Row],[fecha_ultimo_movimiento]]&gt;360,"Inactivo","Activo")</f>
        <v>Inactivo</v>
      </c>
      <c r="M177" s="24">
        <f>+VLOOKUP(ICETEX[[#This Row],[fecha_ultimo_movimiento]],UVR!A:B,2,0)</f>
        <v>279.99599999999998</v>
      </c>
      <c r="N177" s="24">
        <v>510</v>
      </c>
      <c r="O177" t="s">
        <v>3264</v>
      </c>
    </row>
    <row r="178" spans="1:15" ht="15" thickBot="1">
      <c r="A178" s="6">
        <v>177</v>
      </c>
      <c r="B178" s="1" t="s">
        <v>649</v>
      </c>
      <c r="C178" s="1" t="s">
        <v>650</v>
      </c>
      <c r="D178" s="2">
        <v>221271265</v>
      </c>
      <c r="E178" s="1" t="s">
        <v>45</v>
      </c>
      <c r="F178" s="25">
        <v>26037.48</v>
      </c>
      <c r="G178" s="4">
        <v>44658</v>
      </c>
      <c r="H178" s="4">
        <v>43335</v>
      </c>
      <c r="I178" s="1" t="s">
        <v>238</v>
      </c>
      <c r="J178" s="7" t="s">
        <v>651</v>
      </c>
      <c r="K178" s="17">
        <v>1179</v>
      </c>
      <c r="L178" t="str">
        <f ca="1">+IF(TODAY()-ICETEX[[#This Row],[fecha_ultimo_movimiento]]&gt;360,"Inactivo","Activo")</f>
        <v>Inactivo</v>
      </c>
      <c r="M178" s="24">
        <f>+VLOOKUP(ICETEX[[#This Row],[fecha_ultimo_movimiento]],UVR!A:B,2,0)</f>
        <v>299.87119999999999</v>
      </c>
      <c r="N178" s="24">
        <v>87</v>
      </c>
      <c r="O178" t="s">
        <v>3265</v>
      </c>
    </row>
    <row r="179" spans="1:15" ht="15" thickBot="1">
      <c r="A179" s="6">
        <v>178</v>
      </c>
      <c r="B179" s="1" t="s">
        <v>652</v>
      </c>
      <c r="C179" s="1" t="s">
        <v>653</v>
      </c>
      <c r="D179" s="2">
        <v>61207839</v>
      </c>
      <c r="E179" s="1" t="s">
        <v>45</v>
      </c>
      <c r="F179" s="25">
        <v>208228.65</v>
      </c>
      <c r="G179" s="4">
        <v>44126</v>
      </c>
      <c r="H179" s="4">
        <v>42389</v>
      </c>
      <c r="I179" s="1" t="s">
        <v>654</v>
      </c>
      <c r="J179" s="7" t="s">
        <v>655</v>
      </c>
      <c r="K179" s="17">
        <v>1711</v>
      </c>
      <c r="L179" t="str">
        <f ca="1">+IF(TODAY()-ICETEX[[#This Row],[fecha_ultimo_movimiento]]&gt;360,"Inactivo","Activo")</f>
        <v>Inactivo</v>
      </c>
      <c r="M179" s="24">
        <f>+VLOOKUP(ICETEX[[#This Row],[fecha_ultimo_movimiento]],UVR!A:B,2,0)</f>
        <v>274.76060000000001</v>
      </c>
      <c r="N179" s="24">
        <v>758</v>
      </c>
      <c r="O179" t="s">
        <v>3264</v>
      </c>
    </row>
    <row r="180" spans="1:15" ht="15" thickBot="1">
      <c r="A180" s="6">
        <v>179</v>
      </c>
      <c r="B180" s="1" t="s">
        <v>656</v>
      </c>
      <c r="C180" s="1" t="s">
        <v>657</v>
      </c>
      <c r="D180" s="2">
        <v>64103833</v>
      </c>
      <c r="E180" s="1" t="s">
        <v>45</v>
      </c>
      <c r="F180" s="25">
        <v>91729.3</v>
      </c>
      <c r="G180" s="4">
        <v>45169</v>
      </c>
      <c r="H180" s="4">
        <v>42486</v>
      </c>
      <c r="I180" s="1" t="s">
        <v>131</v>
      </c>
      <c r="J180" s="7" t="s">
        <v>658</v>
      </c>
      <c r="K180" s="17">
        <v>668</v>
      </c>
      <c r="L180" t="str">
        <f ca="1">+IF(TODAY()-ICETEX[[#This Row],[fecha_ultimo_movimiento]]&gt;360,"Inactivo","Activo")</f>
        <v>Inactivo</v>
      </c>
      <c r="M180" s="24">
        <f>+VLOOKUP(ICETEX[[#This Row],[fecha_ultimo_movimiento]],UVR!A:B,2,0)</f>
        <v>350.85480000000001</v>
      </c>
      <c r="N180" s="24">
        <v>261</v>
      </c>
      <c r="O180" t="s">
        <v>3265</v>
      </c>
    </row>
    <row r="181" spans="1:15" ht="15" thickBot="1">
      <c r="A181" s="6">
        <v>180</v>
      </c>
      <c r="B181" s="1" t="s">
        <v>659</v>
      </c>
      <c r="C181" s="1" t="s">
        <v>660</v>
      </c>
      <c r="D181" s="2">
        <v>21202175</v>
      </c>
      <c r="E181" s="1" t="s">
        <v>12</v>
      </c>
      <c r="F181" s="25">
        <v>22816.93</v>
      </c>
      <c r="G181" s="4">
        <v>44771</v>
      </c>
      <c r="H181" s="4">
        <v>43447</v>
      </c>
      <c r="I181" s="1" t="s">
        <v>217</v>
      </c>
      <c r="J181" s="7" t="s">
        <v>661</v>
      </c>
      <c r="K181" s="17">
        <v>1066</v>
      </c>
      <c r="L181" t="str">
        <f ca="1">+IF(TODAY()-ICETEX[[#This Row],[fecha_ultimo_movimiento]]&gt;360,"Inactivo","Activo")</f>
        <v>Inactivo</v>
      </c>
      <c r="M181" s="24">
        <f>+VLOOKUP(ICETEX[[#This Row],[fecha_ultimo_movimiento]],UVR!A:B,2,0)</f>
        <v>311.2389</v>
      </c>
      <c r="N181" s="24">
        <v>73</v>
      </c>
      <c r="O181" t="s">
        <v>3265</v>
      </c>
    </row>
    <row r="182" spans="1:15" ht="15" thickBot="1">
      <c r="A182" s="6">
        <v>181</v>
      </c>
      <c r="B182" s="1" t="s">
        <v>662</v>
      </c>
      <c r="C182" s="1" t="s">
        <v>663</v>
      </c>
      <c r="D182" s="2">
        <v>123206011</v>
      </c>
      <c r="E182" s="1" t="s">
        <v>12</v>
      </c>
      <c r="F182" s="25">
        <v>168136.29</v>
      </c>
      <c r="G182" s="4">
        <v>44013</v>
      </c>
      <c r="H182" s="4">
        <v>43271</v>
      </c>
      <c r="I182" s="1" t="s">
        <v>54</v>
      </c>
      <c r="J182" s="7" t="s">
        <v>664</v>
      </c>
      <c r="K182" s="17">
        <v>1824</v>
      </c>
      <c r="L182" t="str">
        <f ca="1">+IF(TODAY()-ICETEX[[#This Row],[fecha_ultimo_movimiento]]&gt;360,"Inactivo","Activo")</f>
        <v>Inactivo</v>
      </c>
      <c r="M182" s="24">
        <f>+VLOOKUP(ICETEX[[#This Row],[fecha_ultimo_movimiento]],UVR!A:B,2,0)</f>
        <v>276.05</v>
      </c>
      <c r="N182" s="24">
        <v>609</v>
      </c>
      <c r="O182" t="s">
        <v>3264</v>
      </c>
    </row>
    <row r="183" spans="1:15" ht="15" thickBot="1">
      <c r="A183" s="6">
        <v>182</v>
      </c>
      <c r="B183" s="1" t="s">
        <v>665</v>
      </c>
      <c r="C183" s="1" t="s">
        <v>666</v>
      </c>
      <c r="D183" s="2">
        <v>83900619</v>
      </c>
      <c r="E183" s="1" t="s">
        <v>45</v>
      </c>
      <c r="F183" s="25">
        <v>35407.1</v>
      </c>
      <c r="G183" s="4">
        <v>43936</v>
      </c>
      <c r="H183" s="4">
        <v>42491</v>
      </c>
      <c r="I183" s="1" t="s">
        <v>621</v>
      </c>
      <c r="J183" s="7" t="s">
        <v>667</v>
      </c>
      <c r="K183" s="17">
        <v>1901</v>
      </c>
      <c r="L183" t="str">
        <f ca="1">+IF(TODAY()-ICETEX[[#This Row],[fecha_ultimo_movimiento]]&gt;360,"Inactivo","Activo")</f>
        <v>Inactivo</v>
      </c>
      <c r="M183" s="24">
        <f>+VLOOKUP(ICETEX[[#This Row],[fecha_ultimo_movimiento]],UVR!A:B,2,0)</f>
        <v>274.51589999999999</v>
      </c>
      <c r="N183" s="24">
        <v>129</v>
      </c>
      <c r="O183" t="s">
        <v>3265</v>
      </c>
    </row>
    <row r="184" spans="1:15" ht="26.5" thickBot="1">
      <c r="A184" s="6">
        <v>183</v>
      </c>
      <c r="B184" s="1" t="s">
        <v>668</v>
      </c>
      <c r="C184" s="1" t="s">
        <v>669</v>
      </c>
      <c r="D184" s="2">
        <v>21001208</v>
      </c>
      <c r="E184" s="1" t="s">
        <v>12</v>
      </c>
      <c r="F184" s="25">
        <v>53571.21</v>
      </c>
      <c r="G184" s="4">
        <v>45802</v>
      </c>
      <c r="H184" s="4">
        <v>42673</v>
      </c>
      <c r="I184" s="1" t="s">
        <v>670</v>
      </c>
      <c r="J184" s="8" t="s">
        <v>671</v>
      </c>
      <c r="K184" s="17">
        <v>35</v>
      </c>
      <c r="L184" t="str">
        <f ca="1">+IF(TODAY()-ICETEX[[#This Row],[fecha_ultimo_movimiento]]&gt;360,"Inactivo","Activo")</f>
        <v>Activo</v>
      </c>
      <c r="M184" s="24">
        <f>+VLOOKUP(ICETEX[[#This Row],[fecha_ultimo_movimiento]],UVR!A:B,2,0)</f>
        <v>389.76569999999998</v>
      </c>
      <c r="N184" s="24">
        <v>137</v>
      </c>
      <c r="O184" t="s">
        <v>3264</v>
      </c>
    </row>
    <row r="185" spans="1:15" ht="15" thickBot="1">
      <c r="A185" s="6">
        <v>184</v>
      </c>
      <c r="B185" s="1" t="s">
        <v>672</v>
      </c>
      <c r="C185" s="1" t="s">
        <v>673</v>
      </c>
      <c r="D185" s="2">
        <v>21300019</v>
      </c>
      <c r="E185" s="1" t="s">
        <v>45</v>
      </c>
      <c r="F185" s="25">
        <v>45574.080000000002</v>
      </c>
      <c r="G185" s="4">
        <v>44808</v>
      </c>
      <c r="H185" s="4">
        <v>43293</v>
      </c>
      <c r="I185" s="1" t="s">
        <v>13</v>
      </c>
      <c r="J185" s="7" t="s">
        <v>674</v>
      </c>
      <c r="K185" s="17">
        <v>1029</v>
      </c>
      <c r="L185" t="str">
        <f ca="1">+IF(TODAY()-ICETEX[[#This Row],[fecha_ultimo_movimiento]]&gt;360,"Inactivo","Activo")</f>
        <v>Inactivo</v>
      </c>
      <c r="M185" s="24">
        <f>+VLOOKUP(ICETEX[[#This Row],[fecha_ultimo_movimiento]],UVR!A:B,2,0)</f>
        <v>313.7371</v>
      </c>
      <c r="N185" s="24">
        <v>145</v>
      </c>
      <c r="O185" t="s">
        <v>3265</v>
      </c>
    </row>
    <row r="186" spans="1:15" ht="15" thickBot="1">
      <c r="A186" s="6">
        <v>185</v>
      </c>
      <c r="B186" s="1" t="s">
        <v>675</v>
      </c>
      <c r="C186" s="1" t="s">
        <v>676</v>
      </c>
      <c r="D186" s="2">
        <v>323371076</v>
      </c>
      <c r="E186" s="1" t="s">
        <v>45</v>
      </c>
      <c r="F186" s="25">
        <v>187908.54</v>
      </c>
      <c r="G186" s="4">
        <v>45295</v>
      </c>
      <c r="H186" s="4">
        <v>43408</v>
      </c>
      <c r="I186" s="1" t="s">
        <v>263</v>
      </c>
      <c r="J186" s="7" t="s">
        <v>677</v>
      </c>
      <c r="K186" s="17">
        <v>542</v>
      </c>
      <c r="L186" t="str">
        <f ca="1">+IF(TODAY()-ICETEX[[#This Row],[fecha_ultimo_movimiento]]&gt;360,"Inactivo","Activo")</f>
        <v>Inactivo</v>
      </c>
      <c r="M186" s="24">
        <f>+VLOOKUP(ICETEX[[#This Row],[fecha_ultimo_movimiento]],UVR!A:B,2,0)</f>
        <v>358.0487</v>
      </c>
      <c r="N186" s="24">
        <v>525</v>
      </c>
      <c r="O186" t="s">
        <v>3264</v>
      </c>
    </row>
    <row r="187" spans="1:15" ht="15" thickBot="1">
      <c r="A187" s="6">
        <v>186</v>
      </c>
      <c r="B187" s="1" t="s">
        <v>678</v>
      </c>
      <c r="C187" s="1" t="s">
        <v>679</v>
      </c>
      <c r="D187" s="2">
        <v>211179982</v>
      </c>
      <c r="E187" s="1" t="s">
        <v>45</v>
      </c>
      <c r="F187" s="25">
        <v>71659.149999999994</v>
      </c>
      <c r="G187" s="4">
        <v>45076</v>
      </c>
      <c r="H187" s="4">
        <v>42564</v>
      </c>
      <c r="I187" s="1" t="s">
        <v>680</v>
      </c>
      <c r="J187" s="7" t="s">
        <v>681</v>
      </c>
      <c r="K187" s="17">
        <v>761</v>
      </c>
      <c r="L187" t="str">
        <f ca="1">+IF(TODAY()-ICETEX[[#This Row],[fecha_ultimo_movimiento]]&gt;360,"Inactivo","Activo")</f>
        <v>Inactivo</v>
      </c>
      <c r="M187" s="24">
        <f>+VLOOKUP(ICETEX[[#This Row],[fecha_ultimo_movimiento]],UVR!A:B,2,0)</f>
        <v>346.02179999999998</v>
      </c>
      <c r="N187" s="24">
        <v>207</v>
      </c>
      <c r="O187" t="s">
        <v>3265</v>
      </c>
    </row>
    <row r="188" spans="1:15" ht="15" thickBot="1">
      <c r="A188" s="6">
        <v>187</v>
      </c>
      <c r="B188" s="1" t="s">
        <v>682</v>
      </c>
      <c r="C188" s="1" t="s">
        <v>683</v>
      </c>
      <c r="D188" s="2">
        <v>113024504</v>
      </c>
      <c r="E188" s="1" t="s">
        <v>12</v>
      </c>
      <c r="F188" s="25">
        <v>75211.91</v>
      </c>
      <c r="G188" s="4">
        <v>44764</v>
      </c>
      <c r="H188" s="4">
        <v>43336</v>
      </c>
      <c r="I188" s="1" t="s">
        <v>534</v>
      </c>
      <c r="J188" s="7" t="s">
        <v>684</v>
      </c>
      <c r="K188" s="17">
        <v>1073</v>
      </c>
      <c r="L188" t="str">
        <f ca="1">+IF(TODAY()-ICETEX[[#This Row],[fecha_ultimo_movimiento]]&gt;360,"Inactivo","Activo")</f>
        <v>Inactivo</v>
      </c>
      <c r="M188" s="24">
        <f>+VLOOKUP(ICETEX[[#This Row],[fecha_ultimo_movimiento]],UVR!A:B,2,0)</f>
        <v>310.88159999999999</v>
      </c>
      <c r="N188" s="24">
        <v>242</v>
      </c>
      <c r="O188" t="s">
        <v>3265</v>
      </c>
    </row>
    <row r="189" spans="1:15" ht="15" thickBot="1">
      <c r="A189" s="6">
        <v>188</v>
      </c>
      <c r="B189" s="1" t="s">
        <v>685</v>
      </c>
      <c r="C189" s="1" t="s">
        <v>686</v>
      </c>
      <c r="D189" s="2">
        <v>122104046</v>
      </c>
      <c r="E189" s="1" t="s">
        <v>12</v>
      </c>
      <c r="F189" s="25">
        <v>18100.62</v>
      </c>
      <c r="G189" s="4">
        <v>45200</v>
      </c>
      <c r="H189" s="4">
        <v>42433</v>
      </c>
      <c r="I189" s="1" t="s">
        <v>127</v>
      </c>
      <c r="J189" s="7" t="s">
        <v>105</v>
      </c>
      <c r="K189" s="17">
        <v>637</v>
      </c>
      <c r="L189" t="str">
        <f ca="1">+IF(TODAY()-ICETEX[[#This Row],[fecha_ultimo_movimiento]]&gt;360,"Inactivo","Activo")</f>
        <v>Inactivo</v>
      </c>
      <c r="M189" s="24">
        <f>+VLOOKUP(ICETEX[[#This Row],[fecha_ultimo_movimiento]],UVR!A:B,2,0)</f>
        <v>353.01350000000002</v>
      </c>
      <c r="N189" s="24">
        <v>51</v>
      </c>
      <c r="O189" t="s">
        <v>3265</v>
      </c>
    </row>
    <row r="190" spans="1:15" ht="15" thickBot="1">
      <c r="A190" s="6">
        <v>189</v>
      </c>
      <c r="B190" s="1" t="s">
        <v>687</v>
      </c>
      <c r="C190" s="1" t="s">
        <v>688</v>
      </c>
      <c r="D190" s="2">
        <v>53901473</v>
      </c>
      <c r="E190" s="1" t="s">
        <v>12</v>
      </c>
      <c r="F190" s="25">
        <v>65269.75</v>
      </c>
      <c r="G190" s="4">
        <v>45615</v>
      </c>
      <c r="H190" s="4">
        <v>43360</v>
      </c>
      <c r="I190" s="1" t="s">
        <v>217</v>
      </c>
      <c r="J190" s="8" t="s">
        <v>689</v>
      </c>
      <c r="K190" s="17">
        <v>222</v>
      </c>
      <c r="L190" t="str">
        <f ca="1">+IF(TODAY()-ICETEX[[#This Row],[fecha_ultimo_movimiento]]&gt;360,"Inactivo","Activo")</f>
        <v>Activo</v>
      </c>
      <c r="M190" s="24">
        <f>+VLOOKUP(ICETEX[[#This Row],[fecha_ultimo_movimiento]],UVR!A:B,2,0)</f>
        <v>376.67680000000001</v>
      </c>
      <c r="N190" s="24">
        <v>173</v>
      </c>
      <c r="O190" t="s">
        <v>3264</v>
      </c>
    </row>
    <row r="191" spans="1:15" ht="15" thickBot="1">
      <c r="A191" s="6">
        <v>190</v>
      </c>
      <c r="B191" s="1" t="s">
        <v>690</v>
      </c>
      <c r="C191" s="1" t="s">
        <v>691</v>
      </c>
      <c r="D191" s="2">
        <v>107004352</v>
      </c>
      <c r="E191" s="1" t="s">
        <v>12</v>
      </c>
      <c r="F191" s="25">
        <v>32021.83</v>
      </c>
      <c r="G191" s="4">
        <v>44847</v>
      </c>
      <c r="H191" s="4">
        <v>43277</v>
      </c>
      <c r="I191" s="1" t="s">
        <v>54</v>
      </c>
      <c r="J191" s="7" t="s">
        <v>692</v>
      </c>
      <c r="K191" s="17">
        <v>990</v>
      </c>
      <c r="L191" t="str">
        <f ca="1">+IF(TODAY()-ICETEX[[#This Row],[fecha_ultimo_movimiento]]&gt;360,"Inactivo","Activo")</f>
        <v>Inactivo</v>
      </c>
      <c r="M191" s="24">
        <f>+VLOOKUP(ICETEX[[#This Row],[fecha_ultimo_movimiento]],UVR!A:B,2,0)</f>
        <v>317.63080000000002</v>
      </c>
      <c r="N191" s="24">
        <v>101</v>
      </c>
      <c r="O191" t="s">
        <v>3265</v>
      </c>
    </row>
    <row r="192" spans="1:15" ht="15" thickBot="1">
      <c r="A192" s="6">
        <v>191</v>
      </c>
      <c r="B192" s="1" t="s">
        <v>693</v>
      </c>
      <c r="C192" s="1" t="s">
        <v>694</v>
      </c>
      <c r="D192" s="2">
        <v>53900377</v>
      </c>
      <c r="E192" s="1" t="s">
        <v>12</v>
      </c>
      <c r="F192" s="25">
        <v>114878.41</v>
      </c>
      <c r="G192" s="4">
        <v>44371</v>
      </c>
      <c r="H192" s="4">
        <v>42985</v>
      </c>
      <c r="I192" s="1" t="s">
        <v>13</v>
      </c>
      <c r="J192" s="7" t="s">
        <v>695</v>
      </c>
      <c r="K192" s="17">
        <v>1466</v>
      </c>
      <c r="L192" t="str">
        <f ca="1">+IF(TODAY()-ICETEX[[#This Row],[fecha_ultimo_movimiento]]&gt;360,"Inactivo","Activo")</f>
        <v>Inactivo</v>
      </c>
      <c r="M192" s="24">
        <f>+VLOOKUP(ICETEX[[#This Row],[fecha_ultimo_movimiento]],UVR!A:B,2,0)</f>
        <v>282.7296</v>
      </c>
      <c r="N192" s="24">
        <v>406</v>
      </c>
      <c r="O192" t="s">
        <v>3264</v>
      </c>
    </row>
    <row r="193" spans="1:15" ht="15" thickBot="1">
      <c r="A193" s="6">
        <v>192</v>
      </c>
      <c r="B193" s="1" t="s">
        <v>696</v>
      </c>
      <c r="C193" s="1" t="s">
        <v>697</v>
      </c>
      <c r="D193" s="2">
        <v>113118342</v>
      </c>
      <c r="E193" s="1" t="s">
        <v>12</v>
      </c>
      <c r="F193" s="25">
        <v>200852.89</v>
      </c>
      <c r="G193" s="4">
        <v>45012</v>
      </c>
      <c r="H193" s="4">
        <v>42932</v>
      </c>
      <c r="I193" s="1" t="s">
        <v>698</v>
      </c>
      <c r="J193" s="7" t="s">
        <v>699</v>
      </c>
      <c r="K193" s="17">
        <v>825</v>
      </c>
      <c r="L193" t="str">
        <f ca="1">+IF(TODAY()-ICETEX[[#This Row],[fecha_ultimo_movimiento]]&gt;360,"Inactivo","Activo")</f>
        <v>Inactivo</v>
      </c>
      <c r="M193" s="24">
        <f>+VLOOKUP(ICETEX[[#This Row],[fecha_ultimo_movimiento]],UVR!A:B,2,0)</f>
        <v>337.71629999999999</v>
      </c>
      <c r="N193" s="24">
        <v>595</v>
      </c>
      <c r="O193" t="s">
        <v>3264</v>
      </c>
    </row>
    <row r="194" spans="1:15" ht="15" thickBot="1">
      <c r="A194" s="6">
        <v>193</v>
      </c>
      <c r="B194" s="1" t="s">
        <v>700</v>
      </c>
      <c r="C194" s="1" t="s">
        <v>701</v>
      </c>
      <c r="D194" s="2">
        <v>211370257</v>
      </c>
      <c r="E194" s="1" t="s">
        <v>12</v>
      </c>
      <c r="F194" s="25">
        <v>70258.929999999993</v>
      </c>
      <c r="G194" s="4">
        <v>45368</v>
      </c>
      <c r="H194" s="4">
        <v>43020</v>
      </c>
      <c r="I194" s="1" t="s">
        <v>702</v>
      </c>
      <c r="J194" s="7" t="s">
        <v>703</v>
      </c>
      <c r="K194" s="17">
        <v>469</v>
      </c>
      <c r="L194" t="str">
        <f ca="1">+IF(TODAY()-ICETEX[[#This Row],[fecha_ultimo_movimiento]]&gt;360,"Inactivo","Activo")</f>
        <v>Inactivo</v>
      </c>
      <c r="M194" s="24">
        <f>+VLOOKUP(ICETEX[[#This Row],[fecha_ultimo_movimiento]],UVR!A:B,2,0)</f>
        <v>363.82760000000002</v>
      </c>
      <c r="N194" s="24">
        <v>193</v>
      </c>
      <c r="O194" t="s">
        <v>3265</v>
      </c>
    </row>
    <row r="195" spans="1:15" ht="15" thickBot="1">
      <c r="A195" s="6">
        <v>194</v>
      </c>
      <c r="B195" s="1" t="s">
        <v>704</v>
      </c>
      <c r="C195" s="1" t="s">
        <v>705</v>
      </c>
      <c r="D195" s="2">
        <v>55002244</v>
      </c>
      <c r="E195" s="1" t="s">
        <v>45</v>
      </c>
      <c r="F195" s="25">
        <v>132897.75</v>
      </c>
      <c r="G195" s="4">
        <v>45638</v>
      </c>
      <c r="H195" s="4">
        <v>43294</v>
      </c>
      <c r="I195" s="1" t="s">
        <v>147</v>
      </c>
      <c r="J195" s="7" t="s">
        <v>706</v>
      </c>
      <c r="K195" s="17">
        <v>199</v>
      </c>
      <c r="L195" t="str">
        <f ca="1">+IF(TODAY()-ICETEX[[#This Row],[fecha_ultimo_movimiento]]&gt;360,"Inactivo","Activo")</f>
        <v>Activo</v>
      </c>
      <c r="M195" s="24">
        <f>+VLOOKUP(ICETEX[[#This Row],[fecha_ultimo_movimiento]],UVR!A:B,2,0)</f>
        <v>376.30130000000003</v>
      </c>
      <c r="N195" s="24">
        <v>353</v>
      </c>
      <c r="O195" t="s">
        <v>3264</v>
      </c>
    </row>
    <row r="196" spans="1:15" ht="15" thickBot="1">
      <c r="A196" s="6">
        <v>195</v>
      </c>
      <c r="B196" s="1" t="s">
        <v>707</v>
      </c>
      <c r="C196" s="1" t="s">
        <v>708</v>
      </c>
      <c r="D196" s="2">
        <v>111904215</v>
      </c>
      <c r="E196" s="1" t="s">
        <v>45</v>
      </c>
      <c r="F196" s="25">
        <v>94691.08</v>
      </c>
      <c r="G196" s="4">
        <v>45412</v>
      </c>
      <c r="H196" s="4">
        <v>42840</v>
      </c>
      <c r="I196" s="1" t="s">
        <v>217</v>
      </c>
      <c r="J196" s="8" t="s">
        <v>709</v>
      </c>
      <c r="K196" s="17">
        <v>425</v>
      </c>
      <c r="L196" t="str">
        <f ca="1">+IF(TODAY()-ICETEX[[#This Row],[fecha_ultimo_movimiento]]&gt;360,"Inactivo","Activo")</f>
        <v>Inactivo</v>
      </c>
      <c r="M196" s="24">
        <f>+VLOOKUP(ICETEX[[#This Row],[fecha_ultimo_movimiento]],UVR!A:B,2,0)</f>
        <v>368.8202</v>
      </c>
      <c r="N196" s="24">
        <v>257</v>
      </c>
      <c r="O196" t="s">
        <v>3265</v>
      </c>
    </row>
    <row r="197" spans="1:15" ht="26.5" thickBot="1">
      <c r="A197" s="6">
        <v>196</v>
      </c>
      <c r="B197" s="1" t="s">
        <v>710</v>
      </c>
      <c r="C197" s="1" t="s">
        <v>711</v>
      </c>
      <c r="D197" s="2">
        <v>67016040</v>
      </c>
      <c r="E197" s="1" t="s">
        <v>45</v>
      </c>
      <c r="F197" s="25">
        <v>116316.67</v>
      </c>
      <c r="G197" s="4">
        <v>44697</v>
      </c>
      <c r="H197" s="4">
        <v>42551</v>
      </c>
      <c r="I197" s="1" t="s">
        <v>712</v>
      </c>
      <c r="J197" s="7" t="s">
        <v>713</v>
      </c>
      <c r="K197" s="17">
        <v>1140</v>
      </c>
      <c r="L197" t="str">
        <f ca="1">+IF(TODAY()-ICETEX[[#This Row],[fecha_ultimo_movimiento]]&gt;360,"Inactivo","Activo")</f>
        <v>Inactivo</v>
      </c>
      <c r="M197" s="24">
        <f>+VLOOKUP(ICETEX[[#This Row],[fecha_ultimo_movimiento]],UVR!A:B,2,0)</f>
        <v>304.25819999999999</v>
      </c>
      <c r="N197" s="24">
        <v>382</v>
      </c>
      <c r="O197" t="s">
        <v>3264</v>
      </c>
    </row>
    <row r="198" spans="1:15" ht="15" thickBot="1">
      <c r="A198" s="6">
        <v>197</v>
      </c>
      <c r="B198" s="1" t="s">
        <v>714</v>
      </c>
      <c r="C198" s="1" t="s">
        <v>715</v>
      </c>
      <c r="D198" s="2">
        <v>71921891</v>
      </c>
      <c r="E198" s="1" t="s">
        <v>12</v>
      </c>
      <c r="F198" s="25">
        <v>202112.89</v>
      </c>
      <c r="G198" s="4">
        <v>44776</v>
      </c>
      <c r="H198" s="4">
        <v>43047</v>
      </c>
      <c r="I198" s="1" t="s">
        <v>538</v>
      </c>
      <c r="J198" s="7" t="s">
        <v>716</v>
      </c>
      <c r="K198" s="17">
        <v>1061</v>
      </c>
      <c r="L198" t="str">
        <f ca="1">+IF(TODAY()-ICETEX[[#This Row],[fecha_ultimo_movimiento]]&gt;360,"Inactivo","Activo")</f>
        <v>Inactivo</v>
      </c>
      <c r="M198" s="24">
        <f>+VLOOKUP(ICETEX[[#This Row],[fecha_ultimo_movimiento]],UVR!A:B,2,0)</f>
        <v>311.49439999999998</v>
      </c>
      <c r="N198" s="24">
        <v>649</v>
      </c>
      <c r="O198" t="s">
        <v>3264</v>
      </c>
    </row>
    <row r="199" spans="1:15" ht="15" thickBot="1">
      <c r="A199" s="6">
        <v>198</v>
      </c>
      <c r="B199" s="1" t="s">
        <v>623</v>
      </c>
      <c r="C199" s="1" t="s">
        <v>717</v>
      </c>
      <c r="D199" s="2">
        <v>65302044</v>
      </c>
      <c r="E199" s="1" t="s">
        <v>45</v>
      </c>
      <c r="F199" s="25">
        <v>205868.28</v>
      </c>
      <c r="G199" s="4">
        <v>44113</v>
      </c>
      <c r="H199" s="4">
        <v>42622</v>
      </c>
      <c r="I199" s="1" t="s">
        <v>718</v>
      </c>
      <c r="J199" s="7" t="s">
        <v>719</v>
      </c>
      <c r="K199" s="17">
        <v>1724</v>
      </c>
      <c r="L199" t="str">
        <f ca="1">+IF(TODAY()-ICETEX[[#This Row],[fecha_ultimo_movimiento]]&gt;360,"Inactivo","Activo")</f>
        <v>Inactivo</v>
      </c>
      <c r="M199" s="24">
        <f>+VLOOKUP(ICETEX[[#This Row],[fecha_ultimo_movimiento]],UVR!A:B,2,0)</f>
        <v>274.56799999999998</v>
      </c>
      <c r="N199" s="24">
        <v>750</v>
      </c>
      <c r="O199" t="s">
        <v>3264</v>
      </c>
    </row>
    <row r="200" spans="1:15" ht="15" thickBot="1">
      <c r="A200" s="6">
        <v>199</v>
      </c>
      <c r="B200" s="1" t="s">
        <v>720</v>
      </c>
      <c r="C200" s="1" t="s">
        <v>721</v>
      </c>
      <c r="D200" s="2">
        <v>84200981</v>
      </c>
      <c r="E200" s="1" t="s">
        <v>45</v>
      </c>
      <c r="F200" s="25">
        <v>199977.5</v>
      </c>
      <c r="G200" s="4">
        <v>44387</v>
      </c>
      <c r="H200" s="4">
        <v>42665</v>
      </c>
      <c r="I200" s="1" t="s">
        <v>722</v>
      </c>
      <c r="J200" s="7" t="s">
        <v>723</v>
      </c>
      <c r="K200" s="17">
        <v>1450</v>
      </c>
      <c r="L200" t="str">
        <f ca="1">+IF(TODAY()-ICETEX[[#This Row],[fecha_ultimo_movimiento]]&gt;360,"Inactivo","Activo")</f>
        <v>Inactivo</v>
      </c>
      <c r="M200" s="24">
        <f>+VLOOKUP(ICETEX[[#This Row],[fecha_ultimo_movimiento]],UVR!A:B,2,0)</f>
        <v>284.23399999999998</v>
      </c>
      <c r="N200" s="24">
        <v>704</v>
      </c>
      <c r="O200" t="s">
        <v>3264</v>
      </c>
    </row>
    <row r="201" spans="1:15" ht="15" thickBot="1">
      <c r="A201" s="6">
        <v>200</v>
      </c>
      <c r="B201" s="1" t="s">
        <v>724</v>
      </c>
      <c r="C201" s="1" t="s">
        <v>725</v>
      </c>
      <c r="D201" s="2">
        <v>61219571</v>
      </c>
      <c r="E201" s="1" t="s">
        <v>12</v>
      </c>
      <c r="F201" s="25">
        <v>177519.7</v>
      </c>
      <c r="G201" s="4">
        <v>44688</v>
      </c>
      <c r="H201" s="4">
        <v>42853</v>
      </c>
      <c r="I201" s="1" t="s">
        <v>135</v>
      </c>
      <c r="J201" s="7" t="s">
        <v>726</v>
      </c>
      <c r="K201" s="17">
        <v>1149</v>
      </c>
      <c r="L201" t="str">
        <f ca="1">+IF(TODAY()-ICETEX[[#This Row],[fecha_ultimo_movimiento]]&gt;360,"Inactivo","Activo")</f>
        <v>Inactivo</v>
      </c>
      <c r="M201" s="24">
        <f>+VLOOKUP(ICETEX[[#This Row],[fecha_ultimo_movimiento]],UVR!A:B,2,0)</f>
        <v>303.33030000000002</v>
      </c>
      <c r="N201" s="24">
        <v>585</v>
      </c>
      <c r="O201" t="s">
        <v>3264</v>
      </c>
    </row>
    <row r="202" spans="1:15" ht="15" thickBot="1">
      <c r="A202" s="6">
        <v>201</v>
      </c>
      <c r="B202" s="1" t="s">
        <v>727</v>
      </c>
      <c r="C202" s="1" t="s">
        <v>728</v>
      </c>
      <c r="D202" s="2">
        <v>113015267</v>
      </c>
      <c r="E202" s="1" t="s">
        <v>12</v>
      </c>
      <c r="F202" s="25">
        <v>69014.070000000007</v>
      </c>
      <c r="G202" s="4">
        <v>45366</v>
      </c>
      <c r="H202" s="4">
        <v>43411</v>
      </c>
      <c r="I202" s="1" t="s">
        <v>534</v>
      </c>
      <c r="J202" s="7" t="s">
        <v>729</v>
      </c>
      <c r="K202" s="17">
        <v>471</v>
      </c>
      <c r="L202" t="str">
        <f ca="1">+IF(TODAY()-ICETEX[[#This Row],[fecha_ultimo_movimiento]]&gt;360,"Inactivo","Activo")</f>
        <v>Inactivo</v>
      </c>
      <c r="M202" s="24">
        <f>+VLOOKUP(ICETEX[[#This Row],[fecha_ultimo_movimiento]],UVR!A:B,2,0)</f>
        <v>363.57319999999999</v>
      </c>
      <c r="N202" s="24">
        <v>190</v>
      </c>
      <c r="O202" t="s">
        <v>3265</v>
      </c>
    </row>
    <row r="203" spans="1:15" ht="15" thickBot="1">
      <c r="A203" s="6">
        <v>202</v>
      </c>
      <c r="B203" s="1" t="s">
        <v>730</v>
      </c>
      <c r="C203" s="1" t="s">
        <v>731</v>
      </c>
      <c r="D203" s="2">
        <v>26007883</v>
      </c>
      <c r="E203" s="1" t="s">
        <v>45</v>
      </c>
      <c r="F203" s="25">
        <v>215035.68</v>
      </c>
      <c r="G203" s="4">
        <v>44315</v>
      </c>
      <c r="H203" s="4">
        <v>43368</v>
      </c>
      <c r="I203" s="1" t="s">
        <v>13</v>
      </c>
      <c r="J203" s="7" t="s">
        <v>732</v>
      </c>
      <c r="K203" s="17">
        <v>1522</v>
      </c>
      <c r="L203" t="str">
        <f ca="1">+IF(TODAY()-ICETEX[[#This Row],[fecha_ultimo_movimiento]]&gt;360,"Inactivo","Activo")</f>
        <v>Inactivo</v>
      </c>
      <c r="M203" s="24">
        <f>+VLOOKUP(ICETEX[[#This Row],[fecha_ultimo_movimiento]],UVR!A:B,2,0)</f>
        <v>279.47430000000003</v>
      </c>
      <c r="N203" s="24">
        <v>769</v>
      </c>
      <c r="O203" t="s">
        <v>3264</v>
      </c>
    </row>
    <row r="204" spans="1:15" ht="15" thickBot="1">
      <c r="A204" s="6">
        <v>203</v>
      </c>
      <c r="B204" s="1" t="s">
        <v>733</v>
      </c>
      <c r="C204" s="1" t="s">
        <v>734</v>
      </c>
      <c r="D204" s="2">
        <v>55002286</v>
      </c>
      <c r="E204" s="1" t="s">
        <v>12</v>
      </c>
      <c r="F204" s="25">
        <v>81042.460000000006</v>
      </c>
      <c r="G204" s="4">
        <v>43924</v>
      </c>
      <c r="H204" s="4">
        <v>43074</v>
      </c>
      <c r="I204" s="1" t="s">
        <v>147</v>
      </c>
      <c r="J204" s="7" t="s">
        <v>735</v>
      </c>
      <c r="K204" s="17">
        <v>1913</v>
      </c>
      <c r="L204" t="str">
        <f ca="1">+IF(TODAY()-ICETEX[[#This Row],[fecha_ultimo_movimiento]]&gt;360,"Inactivo","Activo")</f>
        <v>Inactivo</v>
      </c>
      <c r="M204" s="24">
        <f>+VLOOKUP(ICETEX[[#This Row],[fecha_ultimo_movimiento]],UVR!A:B,2,0)</f>
        <v>273.80720000000002</v>
      </c>
      <c r="N204" s="24">
        <v>296</v>
      </c>
      <c r="O204" t="s">
        <v>3265</v>
      </c>
    </row>
    <row r="205" spans="1:15" ht="15" thickBot="1">
      <c r="A205" s="6">
        <v>204</v>
      </c>
      <c r="B205" s="1" t="s">
        <v>736</v>
      </c>
      <c r="C205" s="1" t="s">
        <v>737</v>
      </c>
      <c r="D205" s="2">
        <v>63204746</v>
      </c>
      <c r="E205" s="1" t="s">
        <v>45</v>
      </c>
      <c r="F205" s="25">
        <v>180104.98</v>
      </c>
      <c r="G205" s="4">
        <v>44579</v>
      </c>
      <c r="H205" s="4">
        <v>43090</v>
      </c>
      <c r="I205" s="1" t="s">
        <v>738</v>
      </c>
      <c r="J205" s="7" t="s">
        <v>739</v>
      </c>
      <c r="K205" s="17">
        <v>1258</v>
      </c>
      <c r="L205" t="str">
        <f ca="1">+IF(TODAY()-ICETEX[[#This Row],[fecha_ultimo_movimiento]]&gt;360,"Inactivo","Activo")</f>
        <v>Inactivo</v>
      </c>
      <c r="M205" s="24">
        <f>+VLOOKUP(ICETEX[[#This Row],[fecha_ultimo_movimiento]],UVR!A:B,2,0)</f>
        <v>289.52019999999999</v>
      </c>
      <c r="N205" s="24">
        <v>622</v>
      </c>
      <c r="O205" t="s">
        <v>3264</v>
      </c>
    </row>
    <row r="206" spans="1:15" ht="15" thickBot="1">
      <c r="A206" s="6">
        <v>205</v>
      </c>
      <c r="B206" s="1" t="s">
        <v>740</v>
      </c>
      <c r="C206" s="1" t="s">
        <v>741</v>
      </c>
      <c r="D206" s="2">
        <v>65403587</v>
      </c>
      <c r="E206" s="1" t="s">
        <v>45</v>
      </c>
      <c r="F206" s="25">
        <v>191965.44</v>
      </c>
      <c r="G206" s="4">
        <v>43986</v>
      </c>
      <c r="H206" s="4">
        <v>43196</v>
      </c>
      <c r="I206" s="1" t="s">
        <v>549</v>
      </c>
      <c r="J206" s="8" t="s">
        <v>742</v>
      </c>
      <c r="K206" s="17">
        <v>1851</v>
      </c>
      <c r="L206" t="str">
        <f ca="1">+IF(TODAY()-ICETEX[[#This Row],[fecha_ultimo_movimiento]]&gt;360,"Inactivo","Activo")</f>
        <v>Inactivo</v>
      </c>
      <c r="M206" s="24">
        <f>+VLOOKUP(ICETEX[[#This Row],[fecha_ultimo_movimiento]],UVR!A:B,2,0)</f>
        <v>276.3655</v>
      </c>
      <c r="N206" s="24">
        <v>695</v>
      </c>
      <c r="O206" t="s">
        <v>3264</v>
      </c>
    </row>
    <row r="207" spans="1:15" ht="15" thickBot="1">
      <c r="A207" s="6">
        <v>206</v>
      </c>
      <c r="B207" s="1" t="s">
        <v>743</v>
      </c>
      <c r="C207" s="1" t="s">
        <v>744</v>
      </c>
      <c r="D207" s="2">
        <v>31311674</v>
      </c>
      <c r="E207" s="1" t="s">
        <v>45</v>
      </c>
      <c r="F207" s="25">
        <v>114070.94</v>
      </c>
      <c r="G207" s="4">
        <v>45219</v>
      </c>
      <c r="H207" s="4">
        <v>42883</v>
      </c>
      <c r="I207" s="1" t="s">
        <v>745</v>
      </c>
      <c r="J207" s="7" t="s">
        <v>746</v>
      </c>
      <c r="K207" s="17">
        <v>618</v>
      </c>
      <c r="L207" t="str">
        <f ca="1">+IF(TODAY()-ICETEX[[#This Row],[fecha_ultimo_movimiento]]&gt;360,"Inactivo","Activo")</f>
        <v>Inactivo</v>
      </c>
      <c r="M207" s="24">
        <f>+VLOOKUP(ICETEX[[#This Row],[fecha_ultimo_movimiento]],UVR!A:B,2,0)</f>
        <v>354.47230000000002</v>
      </c>
      <c r="N207" s="24">
        <v>322</v>
      </c>
      <c r="O207" t="s">
        <v>3265</v>
      </c>
    </row>
    <row r="208" spans="1:15" ht="15" thickBot="1">
      <c r="A208" s="6">
        <v>207</v>
      </c>
      <c r="B208" s="1" t="s">
        <v>747</v>
      </c>
      <c r="C208" s="1" t="s">
        <v>748</v>
      </c>
      <c r="D208" s="2">
        <v>63107513</v>
      </c>
      <c r="E208" s="1" t="s">
        <v>12</v>
      </c>
      <c r="F208" s="25">
        <v>32177.95</v>
      </c>
      <c r="G208" s="4">
        <v>44416</v>
      </c>
      <c r="H208" s="4">
        <v>42526</v>
      </c>
      <c r="I208" s="1" t="s">
        <v>217</v>
      </c>
      <c r="J208" s="7" t="s">
        <v>749</v>
      </c>
      <c r="K208" s="17">
        <v>1421</v>
      </c>
      <c r="L208" t="str">
        <f ca="1">+IF(TODAY()-ICETEX[[#This Row],[fecha_ultimo_movimiento]]&gt;360,"Inactivo","Activo")</f>
        <v>Inactivo</v>
      </c>
      <c r="M208" s="24">
        <f>+VLOOKUP(ICETEX[[#This Row],[fecha_ultimo_movimiento]],UVR!A:B,2,0)</f>
        <v>284.59559999999999</v>
      </c>
      <c r="N208" s="24">
        <v>113</v>
      </c>
      <c r="O208" t="s">
        <v>3265</v>
      </c>
    </row>
    <row r="209" spans="1:15" ht="15" thickBot="1">
      <c r="A209" s="6">
        <v>208</v>
      </c>
      <c r="B209" s="1" t="s">
        <v>750</v>
      </c>
      <c r="C209" s="1" t="s">
        <v>751</v>
      </c>
      <c r="D209" s="2">
        <v>274970144</v>
      </c>
      <c r="E209" s="1" t="s">
        <v>45</v>
      </c>
      <c r="F209" s="25">
        <v>203043.5</v>
      </c>
      <c r="G209" s="4">
        <v>45168</v>
      </c>
      <c r="H209" s="4">
        <v>42397</v>
      </c>
      <c r="I209" s="1" t="s">
        <v>131</v>
      </c>
      <c r="J209" s="7" t="s">
        <v>752</v>
      </c>
      <c r="K209" s="17">
        <v>669</v>
      </c>
      <c r="L209" t="str">
        <f ca="1">+IF(TODAY()-ICETEX[[#This Row],[fecha_ultimo_movimiento]]&gt;360,"Inactivo","Activo")</f>
        <v>Inactivo</v>
      </c>
      <c r="M209" s="24">
        <f>+VLOOKUP(ICETEX[[#This Row],[fecha_ultimo_movimiento]],UVR!A:B,2,0)</f>
        <v>350.79840000000002</v>
      </c>
      <c r="N209" s="24">
        <v>579</v>
      </c>
      <c r="O209" t="s">
        <v>3264</v>
      </c>
    </row>
    <row r="210" spans="1:15" ht="15" thickBot="1">
      <c r="A210" s="6">
        <v>209</v>
      </c>
      <c r="B210" s="1" t="s">
        <v>753</v>
      </c>
      <c r="C210" s="1" t="s">
        <v>754</v>
      </c>
      <c r="D210" s="2">
        <v>31308564</v>
      </c>
      <c r="E210" s="1" t="s">
        <v>45</v>
      </c>
      <c r="F210" s="25">
        <v>193049.65</v>
      </c>
      <c r="G210" s="4">
        <v>45620</v>
      </c>
      <c r="H210" s="4">
        <v>42555</v>
      </c>
      <c r="I210" s="1" t="s">
        <v>96</v>
      </c>
      <c r="J210" s="7" t="s">
        <v>755</v>
      </c>
      <c r="K210" s="17">
        <v>217</v>
      </c>
      <c r="L210" t="str">
        <f ca="1">+IF(TODAY()-ICETEX[[#This Row],[fecha_ultimo_movimiento]]&gt;360,"Inactivo","Activo")</f>
        <v>Activo</v>
      </c>
      <c r="M210" s="24">
        <f>+VLOOKUP(ICETEX[[#This Row],[fecha_ultimo_movimiento]],UVR!A:B,2,0)</f>
        <v>376.5951</v>
      </c>
      <c r="N210" s="24">
        <v>513</v>
      </c>
      <c r="O210" t="s">
        <v>3264</v>
      </c>
    </row>
    <row r="211" spans="1:15" ht="15" thickBot="1">
      <c r="A211" s="6">
        <v>210</v>
      </c>
      <c r="B211" s="1" t="s">
        <v>756</v>
      </c>
      <c r="C211" s="1" t="s">
        <v>757</v>
      </c>
      <c r="D211" s="2">
        <v>114915081</v>
      </c>
      <c r="E211" s="1" t="s">
        <v>45</v>
      </c>
      <c r="F211" s="25">
        <v>168145.37</v>
      </c>
      <c r="G211" s="4">
        <v>44694</v>
      </c>
      <c r="H211" s="4">
        <v>43261</v>
      </c>
      <c r="I211" s="1" t="s">
        <v>758</v>
      </c>
      <c r="J211" s="7" t="s">
        <v>759</v>
      </c>
      <c r="K211" s="17">
        <v>1143</v>
      </c>
      <c r="L211" t="str">
        <f ca="1">+IF(TODAY()-ICETEX[[#This Row],[fecha_ultimo_movimiento]]&gt;360,"Inactivo","Activo")</f>
        <v>Inactivo</v>
      </c>
      <c r="M211" s="24">
        <f>+VLOOKUP(ICETEX[[#This Row],[fecha_ultimo_movimiento]],UVR!A:B,2,0)</f>
        <v>303.93459999999999</v>
      </c>
      <c r="N211" s="24">
        <v>553</v>
      </c>
      <c r="O211" t="s">
        <v>3264</v>
      </c>
    </row>
    <row r="212" spans="1:15" ht="15" thickBot="1">
      <c r="A212" s="6">
        <v>211</v>
      </c>
      <c r="B212" s="1" t="s">
        <v>760</v>
      </c>
      <c r="C212" s="1" t="s">
        <v>761</v>
      </c>
      <c r="D212" s="2">
        <v>51000017</v>
      </c>
      <c r="E212" s="1" t="s">
        <v>45</v>
      </c>
      <c r="F212" s="25">
        <v>125538.76</v>
      </c>
      <c r="G212" s="4">
        <v>45437</v>
      </c>
      <c r="H212" s="4">
        <v>42537</v>
      </c>
      <c r="I212" s="1" t="s">
        <v>762</v>
      </c>
      <c r="J212" s="7" t="s">
        <v>763</v>
      </c>
      <c r="K212" s="17">
        <v>400</v>
      </c>
      <c r="L212" t="str">
        <f ca="1">+IF(TODAY()-ICETEX[[#This Row],[fecha_ultimo_movimiento]]&gt;360,"Inactivo","Activo")</f>
        <v>Inactivo</v>
      </c>
      <c r="M212" s="24">
        <f>+VLOOKUP(ICETEX[[#This Row],[fecha_ultimo_movimiento]],UVR!A:B,2,0)</f>
        <v>370.81189999999998</v>
      </c>
      <c r="N212" s="24">
        <v>339</v>
      </c>
      <c r="O212" t="s">
        <v>3264</v>
      </c>
    </row>
    <row r="213" spans="1:15" ht="15" thickBot="1">
      <c r="A213" s="6">
        <v>212</v>
      </c>
      <c r="B213" s="1" t="s">
        <v>764</v>
      </c>
      <c r="C213" s="1" t="s">
        <v>765</v>
      </c>
      <c r="D213" s="2">
        <v>221272565</v>
      </c>
      <c r="E213" s="1" t="s">
        <v>12</v>
      </c>
      <c r="F213" s="25">
        <v>166591.22</v>
      </c>
      <c r="G213" s="4">
        <v>43859</v>
      </c>
      <c r="H213" s="4">
        <v>42494</v>
      </c>
      <c r="I213" s="1" t="s">
        <v>447</v>
      </c>
      <c r="J213" s="8" t="s">
        <v>766</v>
      </c>
      <c r="K213" s="17">
        <v>1978</v>
      </c>
      <c r="L213" t="str">
        <f ca="1">+IF(TODAY()-ICETEX[[#This Row],[fecha_ultimo_movimiento]]&gt;360,"Inactivo","Activo")</f>
        <v>Inactivo</v>
      </c>
      <c r="M213" s="24">
        <f>+VLOOKUP(ICETEX[[#This Row],[fecha_ultimo_movimiento]],UVR!A:B,2,0)</f>
        <v>271.16199999999998</v>
      </c>
      <c r="N213" s="24">
        <v>614</v>
      </c>
      <c r="O213" t="s">
        <v>3264</v>
      </c>
    </row>
    <row r="214" spans="1:15" ht="15" thickBot="1">
      <c r="A214" s="6">
        <v>213</v>
      </c>
      <c r="B214" s="1" t="s">
        <v>767</v>
      </c>
      <c r="C214" s="1" t="s">
        <v>768</v>
      </c>
      <c r="D214" s="2">
        <v>72402364</v>
      </c>
      <c r="E214" s="1" t="s">
        <v>12</v>
      </c>
      <c r="F214" s="25">
        <v>180827.02</v>
      </c>
      <c r="G214" s="4">
        <v>45676</v>
      </c>
      <c r="H214" s="4">
        <v>42817</v>
      </c>
      <c r="I214" s="1" t="s">
        <v>131</v>
      </c>
      <c r="J214" s="7" t="s">
        <v>769</v>
      </c>
      <c r="K214" s="17">
        <v>161</v>
      </c>
      <c r="L214" t="str">
        <f ca="1">+IF(TODAY()-ICETEX[[#This Row],[fecha_ultimo_movimiento]]&gt;360,"Inactivo","Activo")</f>
        <v>Activo</v>
      </c>
      <c r="M214" s="24">
        <f>+VLOOKUP(ICETEX[[#This Row],[fecha_ultimo_movimiento]],UVR!A:B,2,0)</f>
        <v>377.49169999999998</v>
      </c>
      <c r="N214" s="24">
        <v>479</v>
      </c>
      <c r="O214" t="s">
        <v>3264</v>
      </c>
    </row>
    <row r="215" spans="1:15" ht="15" thickBot="1">
      <c r="A215" s="6">
        <v>214</v>
      </c>
      <c r="B215" s="1" t="s">
        <v>770</v>
      </c>
      <c r="C215" s="1" t="s">
        <v>771</v>
      </c>
      <c r="D215" s="2">
        <v>64101673</v>
      </c>
      <c r="E215" s="1" t="s">
        <v>45</v>
      </c>
      <c r="F215" s="25">
        <v>42848.41</v>
      </c>
      <c r="G215" s="4">
        <v>44989</v>
      </c>
      <c r="H215" s="4">
        <v>42380</v>
      </c>
      <c r="I215" s="1" t="s">
        <v>13</v>
      </c>
      <c r="J215" s="7" t="s">
        <v>772</v>
      </c>
      <c r="K215" s="17">
        <v>848</v>
      </c>
      <c r="L215" t="str">
        <f ca="1">+IF(TODAY()-ICETEX[[#This Row],[fecha_ultimo_movimiento]]&gt;360,"Inactivo","Activo")</f>
        <v>Inactivo</v>
      </c>
      <c r="M215" s="24">
        <f>+VLOOKUP(ICETEX[[#This Row],[fecha_ultimo_movimiento]],UVR!A:B,2,0)</f>
        <v>333.25299999999999</v>
      </c>
      <c r="N215" s="24">
        <v>129</v>
      </c>
      <c r="O215" t="s">
        <v>3265</v>
      </c>
    </row>
    <row r="216" spans="1:15" ht="15" thickBot="1">
      <c r="A216" s="6">
        <v>215</v>
      </c>
      <c r="B216" s="1" t="s">
        <v>773</v>
      </c>
      <c r="C216" s="1" t="s">
        <v>774</v>
      </c>
      <c r="D216" s="2">
        <v>122243800</v>
      </c>
      <c r="E216" s="1" t="s">
        <v>45</v>
      </c>
      <c r="F216" s="25">
        <v>19604.97</v>
      </c>
      <c r="G216" s="4">
        <v>44550</v>
      </c>
      <c r="H216" s="4">
        <v>42880</v>
      </c>
      <c r="I216" s="1" t="s">
        <v>263</v>
      </c>
      <c r="J216" s="7" t="s">
        <v>285</v>
      </c>
      <c r="K216" s="17">
        <v>1287</v>
      </c>
      <c r="L216" t="str">
        <f ca="1">+IF(TODAY()-ICETEX[[#This Row],[fecha_ultimo_movimiento]]&gt;360,"Inactivo","Activo")</f>
        <v>Inactivo</v>
      </c>
      <c r="M216" s="24">
        <f>+VLOOKUP(ICETEX[[#This Row],[fecha_ultimo_movimiento]],UVR!A:B,2,0)</f>
        <v>288.10879999999997</v>
      </c>
      <c r="N216" s="24">
        <v>68</v>
      </c>
      <c r="O216" t="s">
        <v>3265</v>
      </c>
    </row>
    <row r="217" spans="1:15" ht="15" thickBot="1">
      <c r="A217" s="6">
        <v>216</v>
      </c>
      <c r="B217" s="1" t="s">
        <v>775</v>
      </c>
      <c r="C217" s="1" t="s">
        <v>776</v>
      </c>
      <c r="D217" s="2">
        <v>43306855</v>
      </c>
      <c r="E217" s="1" t="s">
        <v>45</v>
      </c>
      <c r="F217" s="25">
        <v>198157.4</v>
      </c>
      <c r="G217" s="4">
        <v>44727</v>
      </c>
      <c r="H217" s="4">
        <v>43137</v>
      </c>
      <c r="I217" s="1" t="s">
        <v>745</v>
      </c>
      <c r="J217" s="7" t="s">
        <v>777</v>
      </c>
      <c r="K217" s="17">
        <v>1110</v>
      </c>
      <c r="L217" t="str">
        <f ca="1">+IF(TODAY()-ICETEX[[#This Row],[fecha_ultimo_movimiento]]&gt;360,"Inactivo","Activo")</f>
        <v>Inactivo</v>
      </c>
      <c r="M217" s="24">
        <f>+VLOOKUP(ICETEX[[#This Row],[fecha_ultimo_movimiento]],UVR!A:B,2,0)</f>
        <v>307.93799999999999</v>
      </c>
      <c r="N217" s="24">
        <v>643</v>
      </c>
      <c r="O217" t="s">
        <v>3264</v>
      </c>
    </row>
    <row r="218" spans="1:15" ht="15" thickBot="1">
      <c r="A218" s="6">
        <v>217</v>
      </c>
      <c r="B218" s="1" t="s">
        <v>778</v>
      </c>
      <c r="C218" s="1" t="s">
        <v>779</v>
      </c>
      <c r="D218" s="2">
        <v>63112249</v>
      </c>
      <c r="E218" s="1" t="s">
        <v>45</v>
      </c>
      <c r="F218" s="25">
        <v>96372.78</v>
      </c>
      <c r="G218" s="4">
        <v>44215</v>
      </c>
      <c r="H218" s="4">
        <v>42718</v>
      </c>
      <c r="I218" s="1" t="s">
        <v>780</v>
      </c>
      <c r="J218" s="7" t="s">
        <v>781</v>
      </c>
      <c r="K218" s="17">
        <v>1622</v>
      </c>
      <c r="L218" t="str">
        <f ca="1">+IF(TODAY()-ICETEX[[#This Row],[fecha_ultimo_movimiento]]&gt;360,"Inactivo","Activo")</f>
        <v>Inactivo</v>
      </c>
      <c r="M218" s="24">
        <f>+VLOOKUP(ICETEX[[#This Row],[fecha_ultimo_movimiento]],UVR!A:B,2,0)</f>
        <v>274.99740000000003</v>
      </c>
      <c r="N218" s="24">
        <v>350</v>
      </c>
      <c r="O218" t="s">
        <v>3264</v>
      </c>
    </row>
    <row r="219" spans="1:15" ht="15" thickBot="1">
      <c r="A219" s="6">
        <v>218</v>
      </c>
      <c r="B219" s="1" t="s">
        <v>782</v>
      </c>
      <c r="C219" s="1" t="s">
        <v>783</v>
      </c>
      <c r="D219" s="2">
        <v>72404948</v>
      </c>
      <c r="E219" s="1" t="s">
        <v>12</v>
      </c>
      <c r="F219" s="25">
        <v>121323.18</v>
      </c>
      <c r="G219" s="4">
        <v>44417</v>
      </c>
      <c r="H219" s="4">
        <v>43459</v>
      </c>
      <c r="I219" s="1" t="s">
        <v>270</v>
      </c>
      <c r="J219" s="8" t="s">
        <v>784</v>
      </c>
      <c r="K219" s="17">
        <v>1420</v>
      </c>
      <c r="L219" t="str">
        <f ca="1">+IF(TODAY()-ICETEX[[#This Row],[fecha_ultimo_movimiento]]&gt;360,"Inactivo","Activo")</f>
        <v>Inactivo</v>
      </c>
      <c r="M219" s="24">
        <f>+VLOOKUP(ICETEX[[#This Row],[fecha_ultimo_movimiento]],UVR!A:B,2,0)</f>
        <v>284.59100000000001</v>
      </c>
      <c r="N219" s="24">
        <v>426</v>
      </c>
      <c r="O219" t="s">
        <v>3264</v>
      </c>
    </row>
    <row r="220" spans="1:15" ht="15" thickBot="1">
      <c r="A220" s="6">
        <v>219</v>
      </c>
      <c r="B220" s="1" t="s">
        <v>785</v>
      </c>
      <c r="C220" s="1" t="s">
        <v>786</v>
      </c>
      <c r="D220" s="2">
        <v>101200440</v>
      </c>
      <c r="E220" s="1" t="s">
        <v>12</v>
      </c>
      <c r="F220" s="25">
        <v>130829.22</v>
      </c>
      <c r="G220" s="4">
        <v>44248</v>
      </c>
      <c r="H220" s="4">
        <v>43106</v>
      </c>
      <c r="I220" s="1" t="s">
        <v>221</v>
      </c>
      <c r="J220" s="7" t="s">
        <v>787</v>
      </c>
      <c r="K220" s="17">
        <v>1589</v>
      </c>
      <c r="L220" t="str">
        <f ca="1">+IF(TODAY()-ICETEX[[#This Row],[fecha_ultimo_movimiento]]&gt;360,"Inactivo","Activo")</f>
        <v>Inactivo</v>
      </c>
      <c r="M220" s="24">
        <f>+VLOOKUP(ICETEX[[#This Row],[fecha_ultimo_movimiento]],UVR!A:B,2,0)</f>
        <v>276.14940000000001</v>
      </c>
      <c r="N220" s="24">
        <v>474</v>
      </c>
      <c r="O220" t="s">
        <v>3264</v>
      </c>
    </row>
    <row r="221" spans="1:15" ht="15" thickBot="1">
      <c r="A221" s="6">
        <v>220</v>
      </c>
      <c r="B221" s="1" t="s">
        <v>788</v>
      </c>
      <c r="C221" s="1" t="s">
        <v>789</v>
      </c>
      <c r="D221" s="2">
        <v>71000521</v>
      </c>
      <c r="E221" s="1" t="s">
        <v>12</v>
      </c>
      <c r="F221" s="25">
        <v>111123.64</v>
      </c>
      <c r="G221" s="4">
        <v>44600</v>
      </c>
      <c r="H221" s="4">
        <v>42997</v>
      </c>
      <c r="I221" s="1" t="s">
        <v>330</v>
      </c>
      <c r="J221" s="7" t="s">
        <v>790</v>
      </c>
      <c r="K221" s="17">
        <v>1237</v>
      </c>
      <c r="L221" t="str">
        <f ca="1">+IF(TODAY()-ICETEX[[#This Row],[fecha_ultimo_movimiento]]&gt;360,"Inactivo","Activo")</f>
        <v>Inactivo</v>
      </c>
      <c r="M221" s="24">
        <f>+VLOOKUP(ICETEX[[#This Row],[fecha_ultimo_movimiento]],UVR!A:B,2,0)</f>
        <v>290.95030000000003</v>
      </c>
      <c r="N221" s="24">
        <v>382</v>
      </c>
      <c r="O221" t="s">
        <v>3264</v>
      </c>
    </row>
    <row r="222" spans="1:15" ht="15" thickBot="1">
      <c r="A222" s="6">
        <v>221</v>
      </c>
      <c r="B222" s="1" t="s">
        <v>791</v>
      </c>
      <c r="C222" s="1" t="s">
        <v>792</v>
      </c>
      <c r="D222" s="2">
        <v>262285223</v>
      </c>
      <c r="E222" s="1" t="s">
        <v>12</v>
      </c>
      <c r="F222" s="25">
        <v>57678.720000000001</v>
      </c>
      <c r="G222" s="4">
        <v>44834</v>
      </c>
      <c r="H222" s="4">
        <v>43356</v>
      </c>
      <c r="I222" s="1" t="s">
        <v>793</v>
      </c>
      <c r="J222" s="7" t="s">
        <v>794</v>
      </c>
      <c r="K222" s="17">
        <v>1003</v>
      </c>
      <c r="L222" t="str">
        <f ca="1">+IF(TODAY()-ICETEX[[#This Row],[fecha_ultimo_movimiento]]&gt;360,"Inactivo","Activo")</f>
        <v>Inactivo</v>
      </c>
      <c r="M222" s="24">
        <f>+VLOOKUP(ICETEX[[#This Row],[fecha_ultimo_movimiento]],UVR!A:B,2,0)</f>
        <v>316.2371</v>
      </c>
      <c r="N222" s="24">
        <v>182</v>
      </c>
      <c r="O222" t="s">
        <v>3265</v>
      </c>
    </row>
    <row r="223" spans="1:15" ht="15" thickBot="1">
      <c r="A223" s="6">
        <v>222</v>
      </c>
      <c r="B223" s="1" t="s">
        <v>795</v>
      </c>
      <c r="C223" s="1" t="s">
        <v>796</v>
      </c>
      <c r="D223" s="2">
        <v>42100272</v>
      </c>
      <c r="E223" s="1" t="s">
        <v>12</v>
      </c>
      <c r="F223" s="25">
        <v>111244.22</v>
      </c>
      <c r="G223" s="4">
        <v>45248</v>
      </c>
      <c r="H223" s="4">
        <v>43286</v>
      </c>
      <c r="I223" s="1" t="s">
        <v>131</v>
      </c>
      <c r="J223" s="7" t="s">
        <v>797</v>
      </c>
      <c r="K223" s="17">
        <v>589</v>
      </c>
      <c r="L223" t="str">
        <f ca="1">+IF(TODAY()-ICETEX[[#This Row],[fecha_ultimo_movimiento]]&gt;360,"Inactivo","Activo")</f>
        <v>Inactivo</v>
      </c>
      <c r="M223" s="24">
        <f>+VLOOKUP(ICETEX[[#This Row],[fecha_ultimo_movimiento]],UVR!A:B,2,0)</f>
        <v>356.16590000000002</v>
      </c>
      <c r="N223" s="24">
        <v>312</v>
      </c>
      <c r="O223" t="s">
        <v>3265</v>
      </c>
    </row>
    <row r="224" spans="1:15" ht="15" thickBot="1">
      <c r="A224" s="6">
        <v>223</v>
      </c>
      <c r="B224" s="1" t="s">
        <v>798</v>
      </c>
      <c r="C224" s="1" t="s">
        <v>799</v>
      </c>
      <c r="D224" s="2">
        <v>102104600</v>
      </c>
      <c r="E224" s="1" t="s">
        <v>12</v>
      </c>
      <c r="F224" s="25">
        <v>45955.45</v>
      </c>
      <c r="G224" s="4">
        <v>44211</v>
      </c>
      <c r="H224" s="4">
        <v>43096</v>
      </c>
      <c r="I224" s="1" t="s">
        <v>471</v>
      </c>
      <c r="J224" s="7" t="s">
        <v>800</v>
      </c>
      <c r="K224" s="17">
        <v>1626</v>
      </c>
      <c r="L224" t="str">
        <f ca="1">+IF(TODAY()-ICETEX[[#This Row],[fecha_ultimo_movimiento]]&gt;360,"Inactivo","Activo")</f>
        <v>Inactivo</v>
      </c>
      <c r="M224" s="24">
        <f>+VLOOKUP(ICETEX[[#This Row],[fecha_ultimo_movimiento]],UVR!A:B,2,0)</f>
        <v>274.86290000000002</v>
      </c>
      <c r="N224" s="24">
        <v>167</v>
      </c>
      <c r="O224" t="s">
        <v>3265</v>
      </c>
    </row>
    <row r="225" spans="1:15" ht="15" thickBot="1">
      <c r="A225" s="6">
        <v>224</v>
      </c>
      <c r="B225" s="1" t="s">
        <v>801</v>
      </c>
      <c r="C225" s="1" t="s">
        <v>802</v>
      </c>
      <c r="D225" s="2">
        <v>103112992</v>
      </c>
      <c r="E225" s="1" t="s">
        <v>12</v>
      </c>
      <c r="F225" s="25">
        <v>55292.46</v>
      </c>
      <c r="G225" s="4">
        <v>45316</v>
      </c>
      <c r="H225" s="4">
        <v>42644</v>
      </c>
      <c r="I225" s="1" t="s">
        <v>803</v>
      </c>
      <c r="J225" s="7" t="s">
        <v>804</v>
      </c>
      <c r="K225" s="17">
        <v>521</v>
      </c>
      <c r="L225" t="str">
        <f ca="1">+IF(TODAY()-ICETEX[[#This Row],[fecha_ultimo_movimiento]]&gt;360,"Inactivo","Activo")</f>
        <v>Inactivo</v>
      </c>
      <c r="M225" s="24">
        <f>+VLOOKUP(ICETEX[[#This Row],[fecha_ultimo_movimiento]],UVR!A:B,2,0)</f>
        <v>359.16469999999998</v>
      </c>
      <c r="N225" s="24">
        <v>154</v>
      </c>
      <c r="O225" t="s">
        <v>3265</v>
      </c>
    </row>
    <row r="226" spans="1:15" ht="15" thickBot="1">
      <c r="A226" s="6">
        <v>225</v>
      </c>
      <c r="B226" s="1" t="s">
        <v>805</v>
      </c>
      <c r="C226" s="1" t="s">
        <v>806</v>
      </c>
      <c r="D226" s="2">
        <v>73904188</v>
      </c>
      <c r="E226" s="1" t="s">
        <v>45</v>
      </c>
      <c r="F226" s="25">
        <v>201414.8</v>
      </c>
      <c r="G226" s="4">
        <v>44979</v>
      </c>
      <c r="H226" s="4">
        <v>43244</v>
      </c>
      <c r="I226" s="1" t="s">
        <v>21</v>
      </c>
      <c r="J226" s="7" t="s">
        <v>807</v>
      </c>
      <c r="K226" s="17">
        <v>858</v>
      </c>
      <c r="L226" t="str">
        <f ca="1">+IF(TODAY()-ICETEX[[#This Row],[fecha_ultimo_movimiento]]&gt;360,"Inactivo","Activo")</f>
        <v>Inactivo</v>
      </c>
      <c r="M226" s="24">
        <f>+VLOOKUP(ICETEX[[#This Row],[fecha_ultimo_movimiento]],UVR!A:B,2,0)</f>
        <v>331.15969999999999</v>
      </c>
      <c r="N226" s="24">
        <v>608</v>
      </c>
      <c r="O226" t="s">
        <v>3264</v>
      </c>
    </row>
    <row r="227" spans="1:15" ht="15" thickBot="1">
      <c r="A227" s="6">
        <v>226</v>
      </c>
      <c r="B227" s="1" t="s">
        <v>808</v>
      </c>
      <c r="C227" s="1" t="s">
        <v>809</v>
      </c>
      <c r="D227" s="2">
        <v>43303447</v>
      </c>
      <c r="E227" s="1" t="s">
        <v>45</v>
      </c>
      <c r="F227" s="25">
        <v>100520.88</v>
      </c>
      <c r="G227" s="4">
        <v>45389</v>
      </c>
      <c r="H227" s="4">
        <v>43320</v>
      </c>
      <c r="I227" s="1" t="s">
        <v>147</v>
      </c>
      <c r="J227" s="7" t="s">
        <v>810</v>
      </c>
      <c r="K227" s="17">
        <v>448</v>
      </c>
      <c r="L227" t="str">
        <f ca="1">+IF(TODAY()-ICETEX[[#This Row],[fecha_ultimo_movimiento]]&gt;360,"Inactivo","Activo")</f>
        <v>Inactivo</v>
      </c>
      <c r="M227" s="24">
        <f>+VLOOKUP(ICETEX[[#This Row],[fecha_ultimo_movimiento]],UVR!A:B,2,0)</f>
        <v>366.5093</v>
      </c>
      <c r="N227" s="24">
        <v>274</v>
      </c>
      <c r="O227" t="s">
        <v>3265</v>
      </c>
    </row>
    <row r="228" spans="1:15" ht="15" thickBot="1">
      <c r="A228" s="6">
        <v>227</v>
      </c>
      <c r="B228" s="1" t="s">
        <v>811</v>
      </c>
      <c r="C228" s="1" t="s">
        <v>812</v>
      </c>
      <c r="D228" s="2">
        <v>11401135</v>
      </c>
      <c r="E228" s="1" t="s">
        <v>12</v>
      </c>
      <c r="F228" s="25">
        <v>19411.689999999999</v>
      </c>
      <c r="G228" s="4">
        <v>45454</v>
      </c>
      <c r="H228" s="4">
        <v>43354</v>
      </c>
      <c r="I228" s="1" t="s">
        <v>813</v>
      </c>
      <c r="J228" s="7" t="s">
        <v>814</v>
      </c>
      <c r="K228" s="17">
        <v>383</v>
      </c>
      <c r="L228" t="str">
        <f ca="1">+IF(TODAY()-ICETEX[[#This Row],[fecha_ultimo_movimiento]]&gt;360,"Inactivo","Activo")</f>
        <v>Inactivo</v>
      </c>
      <c r="M228" s="24">
        <f>+VLOOKUP(ICETEX[[#This Row],[fecha_ultimo_movimiento]],UVR!A:B,2,0)</f>
        <v>372.01010000000002</v>
      </c>
      <c r="N228" s="24">
        <v>52</v>
      </c>
      <c r="O228" t="s">
        <v>3265</v>
      </c>
    </row>
    <row r="229" spans="1:15" ht="15" thickBot="1">
      <c r="A229" s="6">
        <v>228</v>
      </c>
      <c r="B229" s="1" t="s">
        <v>815</v>
      </c>
      <c r="C229" s="1" t="s">
        <v>816</v>
      </c>
      <c r="D229" s="2">
        <v>41204726</v>
      </c>
      <c r="E229" s="1" t="s">
        <v>12</v>
      </c>
      <c r="F229" s="25">
        <v>23688.87</v>
      </c>
      <c r="G229" s="4">
        <v>43846</v>
      </c>
      <c r="H229" s="4">
        <v>43438</v>
      </c>
      <c r="I229" s="1" t="s">
        <v>817</v>
      </c>
      <c r="J229" s="7" t="s">
        <v>818</v>
      </c>
      <c r="K229" s="17">
        <v>1991</v>
      </c>
      <c r="L229" t="str">
        <f ca="1">+IF(TODAY()-ICETEX[[#This Row],[fecha_ultimo_movimiento]]&gt;360,"Inactivo","Activo")</f>
        <v>Inactivo</v>
      </c>
      <c r="M229" s="24">
        <f>+VLOOKUP(ICETEX[[#This Row],[fecha_ultimo_movimiento]],UVR!A:B,2,0)</f>
        <v>270.86689999999999</v>
      </c>
      <c r="N229" s="24">
        <v>87</v>
      </c>
      <c r="O229" t="s">
        <v>3265</v>
      </c>
    </row>
    <row r="230" spans="1:15" ht="15" thickBot="1">
      <c r="A230" s="6">
        <v>229</v>
      </c>
      <c r="B230" s="1" t="s">
        <v>819</v>
      </c>
      <c r="C230" s="1" t="s">
        <v>820</v>
      </c>
      <c r="D230" s="2">
        <v>73902287</v>
      </c>
      <c r="E230" s="1" t="s">
        <v>45</v>
      </c>
      <c r="F230" s="25">
        <v>94947.91</v>
      </c>
      <c r="G230" s="4">
        <v>44702</v>
      </c>
      <c r="H230" s="4">
        <v>43100</v>
      </c>
      <c r="I230" s="1" t="s">
        <v>821</v>
      </c>
      <c r="J230" s="7" t="s">
        <v>822</v>
      </c>
      <c r="K230" s="17">
        <v>1135</v>
      </c>
      <c r="L230" t="str">
        <f ca="1">+IF(TODAY()-ICETEX[[#This Row],[fecha_ultimo_movimiento]]&gt;360,"Inactivo","Activo")</f>
        <v>Inactivo</v>
      </c>
      <c r="M230" s="24">
        <f>+VLOOKUP(ICETEX[[#This Row],[fecha_ultimo_movimiento]],UVR!A:B,2,0)</f>
        <v>304.86840000000001</v>
      </c>
      <c r="N230" s="24">
        <v>311</v>
      </c>
      <c r="O230" t="s">
        <v>3265</v>
      </c>
    </row>
    <row r="231" spans="1:15" ht="15" thickBot="1">
      <c r="A231" s="6">
        <v>230</v>
      </c>
      <c r="B231" s="1" t="s">
        <v>823</v>
      </c>
      <c r="C231" s="1" t="s">
        <v>824</v>
      </c>
      <c r="D231" s="2">
        <v>42307224</v>
      </c>
      <c r="E231" s="1" t="s">
        <v>45</v>
      </c>
      <c r="F231" s="25">
        <v>165970.29999999999</v>
      </c>
      <c r="G231" s="4">
        <v>43989</v>
      </c>
      <c r="H231" s="4">
        <v>42753</v>
      </c>
      <c r="I231" s="1" t="s">
        <v>37</v>
      </c>
      <c r="J231" s="7" t="s">
        <v>825</v>
      </c>
      <c r="K231" s="17">
        <v>1848</v>
      </c>
      <c r="L231" t="str">
        <f ca="1">+IF(TODAY()-ICETEX[[#This Row],[fecha_ultimo_movimiento]]&gt;360,"Inactivo","Activo")</f>
        <v>Inactivo</v>
      </c>
      <c r="M231" s="24">
        <f>+VLOOKUP(ICETEX[[#This Row],[fecha_ultimo_movimiento]],UVR!A:B,2,0)</f>
        <v>276.4083</v>
      </c>
      <c r="N231" s="24">
        <v>600</v>
      </c>
      <c r="O231" t="s">
        <v>3264</v>
      </c>
    </row>
    <row r="232" spans="1:15" ht="15" thickBot="1">
      <c r="A232" s="6">
        <v>231</v>
      </c>
      <c r="B232" s="1" t="s">
        <v>826</v>
      </c>
      <c r="C232" s="1" t="s">
        <v>827</v>
      </c>
      <c r="D232" s="2">
        <v>231375290</v>
      </c>
      <c r="E232" s="1" t="s">
        <v>45</v>
      </c>
      <c r="F232" s="25">
        <v>186363.71</v>
      </c>
      <c r="G232" s="4">
        <v>45638</v>
      </c>
      <c r="H232" s="4">
        <v>42412</v>
      </c>
      <c r="I232" s="1" t="s">
        <v>88</v>
      </c>
      <c r="J232" s="7" t="s">
        <v>828</v>
      </c>
      <c r="K232" s="17">
        <v>199</v>
      </c>
      <c r="L232" t="str">
        <f ca="1">+IF(TODAY()-ICETEX[[#This Row],[fecha_ultimo_movimiento]]&gt;360,"Inactivo","Activo")</f>
        <v>Activo</v>
      </c>
      <c r="M232" s="24">
        <f>+VLOOKUP(ICETEX[[#This Row],[fecha_ultimo_movimiento]],UVR!A:B,2,0)</f>
        <v>376.30130000000003</v>
      </c>
      <c r="N232" s="24">
        <v>495</v>
      </c>
      <c r="O232" t="s">
        <v>3264</v>
      </c>
    </row>
    <row r="233" spans="1:15" ht="15" thickBot="1">
      <c r="A233" s="6">
        <v>232</v>
      </c>
      <c r="B233" s="1" t="s">
        <v>829</v>
      </c>
      <c r="C233" s="1" t="s">
        <v>830</v>
      </c>
      <c r="D233" s="2">
        <v>83002342</v>
      </c>
      <c r="E233" s="1" t="s">
        <v>45</v>
      </c>
      <c r="F233" s="25">
        <v>177135.53</v>
      </c>
      <c r="G233" s="4">
        <v>44876</v>
      </c>
      <c r="H233" s="4">
        <v>42745</v>
      </c>
      <c r="I233" s="1" t="s">
        <v>131</v>
      </c>
      <c r="J233" s="7" t="s">
        <v>831</v>
      </c>
      <c r="K233" s="17">
        <v>961</v>
      </c>
      <c r="L233" t="str">
        <f ca="1">+IF(TODAY()-ICETEX[[#This Row],[fecha_ultimo_movimiento]]&gt;360,"Inactivo","Activo")</f>
        <v>Inactivo</v>
      </c>
      <c r="M233" s="24">
        <f>+VLOOKUP(ICETEX[[#This Row],[fecha_ultimo_movimiento]],UVR!A:B,2,0)</f>
        <v>320.41879999999998</v>
      </c>
      <c r="N233" s="24">
        <v>553</v>
      </c>
      <c r="O233" t="s">
        <v>3264</v>
      </c>
    </row>
    <row r="234" spans="1:15" ht="15" thickBot="1">
      <c r="A234" s="6">
        <v>233</v>
      </c>
      <c r="B234" s="1" t="s">
        <v>832</v>
      </c>
      <c r="C234" s="1" t="s">
        <v>833</v>
      </c>
      <c r="D234" s="2">
        <v>75903983</v>
      </c>
      <c r="E234" s="1" t="s">
        <v>12</v>
      </c>
      <c r="F234" s="25">
        <v>123061.24</v>
      </c>
      <c r="G234" s="4">
        <v>44114</v>
      </c>
      <c r="H234" s="4">
        <v>42919</v>
      </c>
      <c r="I234" s="1" t="s">
        <v>834</v>
      </c>
      <c r="J234" s="7" t="s">
        <v>835</v>
      </c>
      <c r="K234" s="17">
        <v>1723</v>
      </c>
      <c r="L234" t="str">
        <f ca="1">+IF(TODAY()-ICETEX[[#This Row],[fecha_ultimo_movimiento]]&gt;360,"Inactivo","Activo")</f>
        <v>Inactivo</v>
      </c>
      <c r="M234" s="24">
        <f>+VLOOKUP(ICETEX[[#This Row],[fecha_ultimo_movimiento]],UVR!A:B,2,0)</f>
        <v>274.56709999999998</v>
      </c>
      <c r="N234" s="24">
        <v>448</v>
      </c>
      <c r="O234" t="s">
        <v>3264</v>
      </c>
    </row>
    <row r="235" spans="1:15" ht="15" thickBot="1">
      <c r="A235" s="6">
        <v>234</v>
      </c>
      <c r="B235" s="1" t="s">
        <v>836</v>
      </c>
      <c r="C235" s="1" t="s">
        <v>837</v>
      </c>
      <c r="D235" s="2">
        <v>111103058</v>
      </c>
      <c r="E235" s="1" t="s">
        <v>45</v>
      </c>
      <c r="F235" s="25">
        <v>161817.35</v>
      </c>
      <c r="G235" s="4">
        <v>43939</v>
      </c>
      <c r="H235" s="4">
        <v>43191</v>
      </c>
      <c r="I235" s="1" t="s">
        <v>135</v>
      </c>
      <c r="J235" s="7" t="s">
        <v>838</v>
      </c>
      <c r="K235" s="17">
        <v>1898</v>
      </c>
      <c r="L235" t="str">
        <f ca="1">+IF(TODAY()-ICETEX[[#This Row],[fecha_ultimo_movimiento]]&gt;360,"Inactivo","Activo")</f>
        <v>Inactivo</v>
      </c>
      <c r="M235" s="24">
        <f>+VLOOKUP(ICETEX[[#This Row],[fecha_ultimo_movimiento]],UVR!A:B,2,0)</f>
        <v>274.67200000000003</v>
      </c>
      <c r="N235" s="24">
        <v>589</v>
      </c>
      <c r="O235" t="s">
        <v>3264</v>
      </c>
    </row>
    <row r="236" spans="1:15" ht="15" thickBot="1">
      <c r="A236" s="6">
        <v>235</v>
      </c>
      <c r="B236" s="1" t="s">
        <v>839</v>
      </c>
      <c r="C236" s="1" t="s">
        <v>840</v>
      </c>
      <c r="D236" s="2">
        <v>111104853</v>
      </c>
      <c r="E236" s="1" t="s">
        <v>12</v>
      </c>
      <c r="F236" s="25">
        <v>161539.29999999999</v>
      </c>
      <c r="G236" s="4">
        <v>45647</v>
      </c>
      <c r="H236" s="4">
        <v>43391</v>
      </c>
      <c r="I236" s="1" t="s">
        <v>13</v>
      </c>
      <c r="J236" s="7" t="s">
        <v>841</v>
      </c>
      <c r="K236" s="17">
        <v>190</v>
      </c>
      <c r="L236" t="str">
        <f ca="1">+IF(TODAY()-ICETEX[[#This Row],[fecha_ultimo_movimiento]]&gt;360,"Inactivo","Activo")</f>
        <v>Activo</v>
      </c>
      <c r="M236" s="24">
        <f>+VLOOKUP(ICETEX[[#This Row],[fecha_ultimo_movimiento]],UVR!A:B,2,0)</f>
        <v>376.44869999999997</v>
      </c>
      <c r="N236" s="24">
        <v>429</v>
      </c>
      <c r="O236" t="s">
        <v>3264</v>
      </c>
    </row>
    <row r="237" spans="1:15" ht="15" thickBot="1">
      <c r="A237" s="6">
        <v>236</v>
      </c>
      <c r="B237" s="1" t="s">
        <v>842</v>
      </c>
      <c r="C237" s="1" t="s">
        <v>843</v>
      </c>
      <c r="D237" s="2">
        <v>84000084</v>
      </c>
      <c r="E237" s="1" t="s">
        <v>45</v>
      </c>
      <c r="F237" s="25">
        <v>93689.39</v>
      </c>
      <c r="G237" s="4">
        <v>45471</v>
      </c>
      <c r="H237" s="4">
        <v>42540</v>
      </c>
      <c r="I237" s="1" t="s">
        <v>25</v>
      </c>
      <c r="J237" s="7" t="s">
        <v>844</v>
      </c>
      <c r="K237" s="17">
        <v>366</v>
      </c>
      <c r="L237" t="str">
        <f ca="1">+IF(TODAY()-ICETEX[[#This Row],[fecha_ultimo_movimiento]]&gt;360,"Inactivo","Activo")</f>
        <v>Inactivo</v>
      </c>
      <c r="M237" s="24">
        <f>+VLOOKUP(ICETEX[[#This Row],[fecha_ultimo_movimiento]],UVR!A:B,2,0)</f>
        <v>372.98540000000003</v>
      </c>
      <c r="N237" s="24">
        <v>251</v>
      </c>
      <c r="O237" t="s">
        <v>3265</v>
      </c>
    </row>
    <row r="238" spans="1:15" ht="15" thickBot="1">
      <c r="A238" s="6">
        <v>237</v>
      </c>
      <c r="B238" s="1" t="s">
        <v>845</v>
      </c>
      <c r="C238" s="1" t="s">
        <v>846</v>
      </c>
      <c r="D238" s="2">
        <v>265270222</v>
      </c>
      <c r="E238" s="1" t="s">
        <v>12</v>
      </c>
      <c r="F238" s="25">
        <v>146958.06</v>
      </c>
      <c r="G238" s="4">
        <v>44604</v>
      </c>
      <c r="H238" s="4">
        <v>42464</v>
      </c>
      <c r="I238" s="1" t="s">
        <v>847</v>
      </c>
      <c r="J238" s="8" t="s">
        <v>848</v>
      </c>
      <c r="K238" s="17">
        <v>1233</v>
      </c>
      <c r="L238" t="str">
        <f ca="1">+IF(TODAY()-ICETEX[[#This Row],[fecha_ultimo_movimiento]]&gt;360,"Inactivo","Activo")</f>
        <v>Inactivo</v>
      </c>
      <c r="M238" s="24">
        <f>+VLOOKUP(ICETEX[[#This Row],[fecha_ultimo_movimiento]],UVR!A:B,2,0)</f>
        <v>291.2235</v>
      </c>
      <c r="N238" s="24">
        <v>505</v>
      </c>
      <c r="O238" t="s">
        <v>3264</v>
      </c>
    </row>
    <row r="239" spans="1:15" ht="15" thickBot="1">
      <c r="A239" s="6">
        <v>238</v>
      </c>
      <c r="B239" s="1" t="s">
        <v>849</v>
      </c>
      <c r="C239" s="1" t="s">
        <v>850</v>
      </c>
      <c r="D239" s="2">
        <v>75912165</v>
      </c>
      <c r="E239" s="1" t="s">
        <v>45</v>
      </c>
      <c r="F239" s="25">
        <v>143714.18</v>
      </c>
      <c r="G239" s="4">
        <v>44439</v>
      </c>
      <c r="H239" s="4">
        <v>42506</v>
      </c>
      <c r="I239" s="1" t="s">
        <v>127</v>
      </c>
      <c r="J239" s="7" t="s">
        <v>851</v>
      </c>
      <c r="K239" s="17">
        <v>1398</v>
      </c>
      <c r="L239" t="str">
        <f ca="1">+IF(TODAY()-ICETEX[[#This Row],[fecha_ultimo_movimiento]]&gt;360,"Inactivo","Activo")</f>
        <v>Inactivo</v>
      </c>
      <c r="M239" s="24">
        <f>+VLOOKUP(ICETEX[[#This Row],[fecha_ultimo_movimiento]],UVR!A:B,2,0)</f>
        <v>285.03300000000002</v>
      </c>
      <c r="N239" s="24">
        <v>504</v>
      </c>
      <c r="O239" t="s">
        <v>3264</v>
      </c>
    </row>
    <row r="240" spans="1:15" ht="15" thickBot="1">
      <c r="A240" s="6">
        <v>239</v>
      </c>
      <c r="B240" s="1" t="s">
        <v>852</v>
      </c>
      <c r="C240" s="1" t="s">
        <v>853</v>
      </c>
      <c r="D240" s="2">
        <v>61302417</v>
      </c>
      <c r="E240" s="1" t="s">
        <v>45</v>
      </c>
      <c r="F240" s="25">
        <v>217199.97</v>
      </c>
      <c r="G240" s="4">
        <v>44940</v>
      </c>
      <c r="H240" s="4">
        <v>42972</v>
      </c>
      <c r="I240" s="1" t="s">
        <v>13</v>
      </c>
      <c r="J240" s="7" t="s">
        <v>854</v>
      </c>
      <c r="K240" s="17">
        <v>897</v>
      </c>
      <c r="L240" t="str">
        <f ca="1">+IF(TODAY()-ICETEX[[#This Row],[fecha_ultimo_movimiento]]&gt;360,"Inactivo","Activo")</f>
        <v>Inactivo</v>
      </c>
      <c r="M240" s="24">
        <f>+VLOOKUP(ICETEX[[#This Row],[fecha_ultimo_movimiento]],UVR!A:B,2,0)</f>
        <v>325.51900000000001</v>
      </c>
      <c r="N240" s="24">
        <v>667</v>
      </c>
      <c r="O240" t="s">
        <v>3264</v>
      </c>
    </row>
    <row r="241" spans="1:15" ht="15" thickBot="1">
      <c r="A241" s="6">
        <v>240</v>
      </c>
      <c r="B241" s="1" t="s">
        <v>855</v>
      </c>
      <c r="C241" s="1" t="s">
        <v>856</v>
      </c>
      <c r="D241" s="2">
        <v>63115123</v>
      </c>
      <c r="E241" s="1" t="s">
        <v>12</v>
      </c>
      <c r="F241" s="25">
        <v>218140.94</v>
      </c>
      <c r="G241" s="4">
        <v>45711</v>
      </c>
      <c r="H241" s="4">
        <v>42447</v>
      </c>
      <c r="I241" s="1" t="s">
        <v>127</v>
      </c>
      <c r="J241" s="7" t="s">
        <v>857</v>
      </c>
      <c r="K241" s="17">
        <v>126</v>
      </c>
      <c r="L241" t="str">
        <f ca="1">+IF(TODAY()-ICETEX[[#This Row],[fecha_ultimo_movimiento]]&gt;360,"Inactivo","Activo")</f>
        <v>Activo</v>
      </c>
      <c r="M241" s="24">
        <f>+VLOOKUP(ICETEX[[#This Row],[fecha_ultimo_movimiento]],UVR!A:B,2,0)</f>
        <v>380.0181</v>
      </c>
      <c r="N241" s="24">
        <v>574</v>
      </c>
      <c r="O241" t="s">
        <v>3264</v>
      </c>
    </row>
    <row r="242" spans="1:15" ht="15" thickBot="1">
      <c r="A242" s="6">
        <v>241</v>
      </c>
      <c r="B242" s="1" t="s">
        <v>858</v>
      </c>
      <c r="C242" s="1" t="s">
        <v>859</v>
      </c>
      <c r="D242" s="2">
        <v>51404260</v>
      </c>
      <c r="E242" s="1" t="s">
        <v>45</v>
      </c>
      <c r="F242" s="25">
        <v>66622.58</v>
      </c>
      <c r="G242" s="4">
        <v>44264</v>
      </c>
      <c r="H242" s="4">
        <v>43181</v>
      </c>
      <c r="I242" s="1" t="s">
        <v>213</v>
      </c>
      <c r="J242" s="7" t="s">
        <v>860</v>
      </c>
      <c r="K242" s="17">
        <v>1573</v>
      </c>
      <c r="L242" t="str">
        <f ca="1">+IF(TODAY()-ICETEX[[#This Row],[fecha_ultimo_movimiento]]&gt;360,"Inactivo","Activo")</f>
        <v>Inactivo</v>
      </c>
      <c r="M242" s="24">
        <f>+VLOOKUP(ICETEX[[#This Row],[fecha_ultimo_movimiento]],UVR!A:B,2,0)</f>
        <v>276.79579999999999</v>
      </c>
      <c r="N242" s="24">
        <v>241</v>
      </c>
      <c r="O242" t="s">
        <v>3265</v>
      </c>
    </row>
    <row r="243" spans="1:15" ht="15" thickBot="1">
      <c r="A243" s="6">
        <v>242</v>
      </c>
      <c r="B243" s="1" t="s">
        <v>861</v>
      </c>
      <c r="C243" s="1" t="s">
        <v>862</v>
      </c>
      <c r="D243" s="2">
        <v>21202311</v>
      </c>
      <c r="E243" s="1" t="s">
        <v>45</v>
      </c>
      <c r="F243" s="25">
        <v>112039.63</v>
      </c>
      <c r="G243" s="4">
        <v>44348</v>
      </c>
      <c r="H243" s="4">
        <v>43076</v>
      </c>
      <c r="I243" s="1" t="s">
        <v>147</v>
      </c>
      <c r="J243" s="7" t="s">
        <v>863</v>
      </c>
      <c r="K243" s="17">
        <v>1489</v>
      </c>
      <c r="L243" t="str">
        <f ca="1">+IF(TODAY()-ICETEX[[#This Row],[fecha_ultimo_movimiento]]&gt;360,"Inactivo","Activo")</f>
        <v>Inactivo</v>
      </c>
      <c r="M243" s="24">
        <f>+VLOOKUP(ICETEX[[#This Row],[fecha_ultimo_movimiento]],UVR!A:B,2,0)</f>
        <v>281.13900000000001</v>
      </c>
      <c r="N243" s="24">
        <v>399</v>
      </c>
      <c r="O243" t="s">
        <v>3264</v>
      </c>
    </row>
    <row r="244" spans="1:15" ht="15" thickBot="1">
      <c r="A244" s="6">
        <v>243</v>
      </c>
      <c r="B244" s="1" t="s">
        <v>864</v>
      </c>
      <c r="C244" s="1" t="s">
        <v>865</v>
      </c>
      <c r="D244" s="2">
        <v>226071004</v>
      </c>
      <c r="E244" s="1" t="s">
        <v>12</v>
      </c>
      <c r="F244" s="25">
        <v>114370.46</v>
      </c>
      <c r="G244" s="4">
        <v>44949</v>
      </c>
      <c r="H244" s="4">
        <v>42437</v>
      </c>
      <c r="I244" s="1" t="s">
        <v>866</v>
      </c>
      <c r="J244" s="7" t="s">
        <v>867</v>
      </c>
      <c r="K244" s="17">
        <v>888</v>
      </c>
      <c r="L244" t="str">
        <f ca="1">+IF(TODAY()-ICETEX[[#This Row],[fecha_ultimo_movimiento]]&gt;360,"Inactivo","Activo")</f>
        <v>Inactivo</v>
      </c>
      <c r="M244" s="24">
        <f>+VLOOKUP(ICETEX[[#This Row],[fecha_ultimo_movimiento]],UVR!A:B,2,0)</f>
        <v>326.65339999999998</v>
      </c>
      <c r="N244" s="24">
        <v>350</v>
      </c>
      <c r="O244" t="s">
        <v>3264</v>
      </c>
    </row>
    <row r="245" spans="1:15" ht="15" thickBot="1">
      <c r="A245" s="6">
        <v>244</v>
      </c>
      <c r="B245" s="1" t="s">
        <v>868</v>
      </c>
      <c r="C245" s="1" t="s">
        <v>869</v>
      </c>
      <c r="D245" s="2">
        <v>101114303</v>
      </c>
      <c r="E245" s="1" t="s">
        <v>45</v>
      </c>
      <c r="F245" s="25">
        <v>185092.45</v>
      </c>
      <c r="G245" s="4">
        <v>45261</v>
      </c>
      <c r="H245" s="4">
        <v>42979</v>
      </c>
      <c r="I245" s="1" t="s">
        <v>870</v>
      </c>
      <c r="J245" s="8" t="s">
        <v>871</v>
      </c>
      <c r="K245" s="17">
        <v>576</v>
      </c>
      <c r="L245" t="str">
        <f ca="1">+IF(TODAY()-ICETEX[[#This Row],[fecha_ultimo_movimiento]]&gt;360,"Inactivo","Activo")</f>
        <v>Inactivo</v>
      </c>
      <c r="M245" s="24">
        <f>+VLOOKUP(ICETEX[[#This Row],[fecha_ultimo_movimiento]],UVR!A:B,2,0)</f>
        <v>356.55149999999998</v>
      </c>
      <c r="N245" s="24">
        <v>519</v>
      </c>
      <c r="O245" t="s">
        <v>3264</v>
      </c>
    </row>
    <row r="246" spans="1:15" ht="15" thickBot="1">
      <c r="A246" s="6">
        <v>245</v>
      </c>
      <c r="B246" s="1" t="s">
        <v>872</v>
      </c>
      <c r="C246" s="1" t="s">
        <v>873</v>
      </c>
      <c r="D246" s="2">
        <v>211170363</v>
      </c>
      <c r="E246" s="1" t="s">
        <v>45</v>
      </c>
      <c r="F246" s="25">
        <v>55850.17</v>
      </c>
      <c r="G246" s="4">
        <v>45048</v>
      </c>
      <c r="H246" s="4">
        <v>42422</v>
      </c>
      <c r="I246" s="1" t="s">
        <v>13</v>
      </c>
      <c r="J246" s="8" t="s">
        <v>874</v>
      </c>
      <c r="K246" s="17">
        <v>789</v>
      </c>
      <c r="L246" t="str">
        <f ca="1">+IF(TODAY()-ICETEX[[#This Row],[fecha_ultimo_movimiento]]&gt;360,"Inactivo","Activo")</f>
        <v>Inactivo</v>
      </c>
      <c r="M246" s="24">
        <f>+VLOOKUP(ICETEX[[#This Row],[fecha_ultimo_movimiento]],UVR!A:B,2,0)</f>
        <v>343.16660000000002</v>
      </c>
      <c r="N246" s="24">
        <v>163</v>
      </c>
      <c r="O246" t="s">
        <v>3265</v>
      </c>
    </row>
    <row r="247" spans="1:15" ht="15" thickBot="1">
      <c r="A247" s="6">
        <v>246</v>
      </c>
      <c r="B247" s="1" t="s">
        <v>875</v>
      </c>
      <c r="C247" s="1" t="s">
        <v>876</v>
      </c>
      <c r="D247" s="2">
        <v>71923323</v>
      </c>
      <c r="E247" s="1" t="s">
        <v>45</v>
      </c>
      <c r="F247" s="25">
        <v>22704.38</v>
      </c>
      <c r="G247" s="4">
        <v>44739</v>
      </c>
      <c r="H247" s="4">
        <v>43051</v>
      </c>
      <c r="I247" s="1" t="s">
        <v>131</v>
      </c>
      <c r="J247" s="7" t="s">
        <v>877</v>
      </c>
      <c r="K247" s="17">
        <v>1098</v>
      </c>
      <c r="L247" t="str">
        <f ca="1">+IF(TODAY()-ICETEX[[#This Row],[fecha_ultimo_movimiento]]&gt;360,"Inactivo","Activo")</f>
        <v>Inactivo</v>
      </c>
      <c r="M247" s="24">
        <f>+VLOOKUP(ICETEX[[#This Row],[fecha_ultimo_movimiento]],UVR!A:B,2,0)</f>
        <v>308.9701</v>
      </c>
      <c r="N247" s="24">
        <v>73</v>
      </c>
      <c r="O247" t="s">
        <v>3265</v>
      </c>
    </row>
    <row r="248" spans="1:15" ht="15" thickBot="1">
      <c r="A248" s="6">
        <v>247</v>
      </c>
      <c r="B248" s="1" t="s">
        <v>878</v>
      </c>
      <c r="C248" s="1" t="s">
        <v>879</v>
      </c>
      <c r="D248" s="2">
        <v>121031673</v>
      </c>
      <c r="E248" s="1" t="s">
        <v>45</v>
      </c>
      <c r="F248" s="25">
        <v>136864.93</v>
      </c>
      <c r="G248" s="4">
        <v>45274</v>
      </c>
      <c r="H248" s="4">
        <v>42590</v>
      </c>
      <c r="I248" s="1" t="s">
        <v>880</v>
      </c>
      <c r="J248" s="7" t="s">
        <v>881</v>
      </c>
      <c r="K248" s="17">
        <v>563</v>
      </c>
      <c r="L248" t="str">
        <f ca="1">+IF(TODAY()-ICETEX[[#This Row],[fecha_ultimo_movimiento]]&gt;360,"Inactivo","Activo")</f>
        <v>Inactivo</v>
      </c>
      <c r="M248" s="24">
        <f>+VLOOKUP(ICETEX[[#This Row],[fecha_ultimo_movimiento]],UVR!A:B,2,0)</f>
        <v>356.9375</v>
      </c>
      <c r="N248" s="24">
        <v>383</v>
      </c>
      <c r="O248" t="s">
        <v>3264</v>
      </c>
    </row>
    <row r="249" spans="1:15" ht="26.5" thickBot="1">
      <c r="A249" s="6">
        <v>248</v>
      </c>
      <c r="B249" s="1" t="s">
        <v>882</v>
      </c>
      <c r="C249" s="1" t="s">
        <v>883</v>
      </c>
      <c r="D249" s="2">
        <v>122231935</v>
      </c>
      <c r="E249" s="1" t="s">
        <v>12</v>
      </c>
      <c r="F249" s="25">
        <v>138277.23000000001</v>
      </c>
      <c r="G249" s="4">
        <v>44114</v>
      </c>
      <c r="H249" s="4">
        <v>42660</v>
      </c>
      <c r="I249" s="1" t="s">
        <v>357</v>
      </c>
      <c r="J249" s="7" t="s">
        <v>884</v>
      </c>
      <c r="K249" s="17">
        <v>1723</v>
      </c>
      <c r="L249" t="str">
        <f ca="1">+IF(TODAY()-ICETEX[[#This Row],[fecha_ultimo_movimiento]]&gt;360,"Inactivo","Activo")</f>
        <v>Inactivo</v>
      </c>
      <c r="M249" s="24">
        <f>+VLOOKUP(ICETEX[[#This Row],[fecha_ultimo_movimiento]],UVR!A:B,2,0)</f>
        <v>274.56709999999998</v>
      </c>
      <c r="N249" s="24">
        <v>504</v>
      </c>
      <c r="O249" t="s">
        <v>3264</v>
      </c>
    </row>
    <row r="250" spans="1:15" ht="15" thickBot="1">
      <c r="A250" s="6">
        <v>249</v>
      </c>
      <c r="B250" s="1" t="s">
        <v>885</v>
      </c>
      <c r="C250" s="1" t="s">
        <v>886</v>
      </c>
      <c r="D250" s="2">
        <v>65000090</v>
      </c>
      <c r="E250" s="1" t="s">
        <v>45</v>
      </c>
      <c r="F250" s="25">
        <v>53407.82</v>
      </c>
      <c r="G250" s="4">
        <v>45323</v>
      </c>
      <c r="H250" s="4">
        <v>43075</v>
      </c>
      <c r="I250" s="1" t="s">
        <v>13</v>
      </c>
      <c r="J250" s="7" t="s">
        <v>887</v>
      </c>
      <c r="K250" s="17">
        <v>514</v>
      </c>
      <c r="L250" t="str">
        <f ca="1">+IF(TODAY()-ICETEX[[#This Row],[fecha_ultimo_movimiento]]&gt;360,"Inactivo","Activo")</f>
        <v>Inactivo</v>
      </c>
      <c r="M250" s="24">
        <f>+VLOOKUP(ICETEX[[#This Row],[fecha_ultimo_movimiento]],UVR!A:B,2,0)</f>
        <v>359.529</v>
      </c>
      <c r="N250" s="24">
        <v>149</v>
      </c>
      <c r="O250" t="s">
        <v>3265</v>
      </c>
    </row>
    <row r="251" spans="1:15" ht="15" thickBot="1">
      <c r="A251" s="6">
        <v>250</v>
      </c>
      <c r="B251" s="1" t="s">
        <v>487</v>
      </c>
      <c r="C251" s="1" t="s">
        <v>888</v>
      </c>
      <c r="D251" s="2">
        <v>53112453</v>
      </c>
      <c r="E251" s="1" t="s">
        <v>12</v>
      </c>
      <c r="F251" s="25">
        <v>124674.6</v>
      </c>
      <c r="G251" s="4">
        <v>44319</v>
      </c>
      <c r="H251" s="4">
        <v>42473</v>
      </c>
      <c r="I251" s="1" t="s">
        <v>88</v>
      </c>
      <c r="J251" s="7" t="s">
        <v>889</v>
      </c>
      <c r="K251" s="17">
        <v>1518</v>
      </c>
      <c r="L251" t="str">
        <f ca="1">+IF(TODAY()-ICETEX[[#This Row],[fecha_ultimo_movimiento]]&gt;360,"Inactivo","Activo")</f>
        <v>Inactivo</v>
      </c>
      <c r="M251" s="24">
        <f>+VLOOKUP(ICETEX[[#This Row],[fecha_ultimo_movimiento]],UVR!A:B,2,0)</f>
        <v>279.66390000000001</v>
      </c>
      <c r="N251" s="24">
        <v>446</v>
      </c>
      <c r="O251" t="s">
        <v>3264</v>
      </c>
    </row>
    <row r="252" spans="1:15" ht="15" thickBot="1">
      <c r="A252" s="6">
        <v>251</v>
      </c>
      <c r="B252" s="1" t="s">
        <v>890</v>
      </c>
      <c r="C252" s="1" t="s">
        <v>891</v>
      </c>
      <c r="D252" s="2">
        <v>103902717</v>
      </c>
      <c r="E252" s="1" t="s">
        <v>12</v>
      </c>
      <c r="F252" s="25">
        <v>174481.93</v>
      </c>
      <c r="G252" s="4">
        <v>44474</v>
      </c>
      <c r="H252" s="4">
        <v>43166</v>
      </c>
      <c r="I252" s="1" t="s">
        <v>892</v>
      </c>
      <c r="J252" s="7" t="s">
        <v>893</v>
      </c>
      <c r="K252" s="17">
        <v>1363</v>
      </c>
      <c r="L252" t="str">
        <f ca="1">+IF(TODAY()-ICETEX[[#This Row],[fecha_ultimo_movimiento]]&gt;360,"Inactivo","Activo")</f>
        <v>Inactivo</v>
      </c>
      <c r="M252" s="24">
        <f>+VLOOKUP(ICETEX[[#This Row],[fecha_ultimo_movimiento]],UVR!A:B,2,0)</f>
        <v>286.32979999999998</v>
      </c>
      <c r="N252" s="24">
        <v>609</v>
      </c>
      <c r="O252" t="s">
        <v>3264</v>
      </c>
    </row>
    <row r="253" spans="1:15" ht="15" thickBot="1">
      <c r="A253" s="6">
        <v>252</v>
      </c>
      <c r="B253" s="1" t="s">
        <v>894</v>
      </c>
      <c r="C253" s="1" t="s">
        <v>895</v>
      </c>
      <c r="D253" s="2">
        <v>122240764</v>
      </c>
      <c r="E253" s="1" t="s">
        <v>12</v>
      </c>
      <c r="F253" s="25">
        <v>42003.41</v>
      </c>
      <c r="G253" s="4">
        <v>44699</v>
      </c>
      <c r="H253" s="4">
        <v>43164</v>
      </c>
      <c r="I253" s="1" t="s">
        <v>495</v>
      </c>
      <c r="J253" s="7" t="s">
        <v>896</v>
      </c>
      <c r="K253" s="17">
        <v>1138</v>
      </c>
      <c r="L253" t="str">
        <f ca="1">+IF(TODAY()-ICETEX[[#This Row],[fecha_ultimo_movimiento]]&gt;360,"Inactivo","Activo")</f>
        <v>Inactivo</v>
      </c>
      <c r="M253" s="24">
        <f>+VLOOKUP(ICETEX[[#This Row],[fecha_ultimo_movimiento]],UVR!A:B,2,0)</f>
        <v>304.50209999999998</v>
      </c>
      <c r="N253" s="24">
        <v>138</v>
      </c>
      <c r="O253" t="s">
        <v>3265</v>
      </c>
    </row>
    <row r="254" spans="1:15" ht="15" thickBot="1">
      <c r="A254" s="6">
        <v>253</v>
      </c>
      <c r="B254" s="1" t="s">
        <v>897</v>
      </c>
      <c r="C254" s="1" t="s">
        <v>898</v>
      </c>
      <c r="D254" s="2">
        <v>111322583</v>
      </c>
      <c r="E254" s="1" t="s">
        <v>12</v>
      </c>
      <c r="F254" s="25">
        <v>63072.03</v>
      </c>
      <c r="G254" s="4">
        <v>44315</v>
      </c>
      <c r="H254" s="4">
        <v>43456</v>
      </c>
      <c r="I254" s="1" t="s">
        <v>534</v>
      </c>
      <c r="J254" s="7" t="s">
        <v>899</v>
      </c>
      <c r="K254" s="17">
        <v>1522</v>
      </c>
      <c r="L254" t="str">
        <f ca="1">+IF(TODAY()-ICETEX[[#This Row],[fecha_ultimo_movimiento]]&gt;360,"Inactivo","Activo")</f>
        <v>Inactivo</v>
      </c>
      <c r="M254" s="24">
        <f>+VLOOKUP(ICETEX[[#This Row],[fecha_ultimo_movimiento]],UVR!A:B,2,0)</f>
        <v>279.47430000000003</v>
      </c>
      <c r="N254" s="24">
        <v>226</v>
      </c>
      <c r="O254" t="s">
        <v>3265</v>
      </c>
    </row>
    <row r="255" spans="1:15" ht="15" thickBot="1">
      <c r="A255" s="6">
        <v>254</v>
      </c>
      <c r="B255" s="1" t="s">
        <v>900</v>
      </c>
      <c r="C255" s="1" t="s">
        <v>901</v>
      </c>
      <c r="D255" s="2">
        <v>56004089</v>
      </c>
      <c r="E255" s="1" t="s">
        <v>12</v>
      </c>
      <c r="F255" s="25">
        <v>210644.7</v>
      </c>
      <c r="G255" s="4">
        <v>43991</v>
      </c>
      <c r="H255" s="4">
        <v>42618</v>
      </c>
      <c r="I255" s="1" t="s">
        <v>217</v>
      </c>
      <c r="J255" s="7" t="s">
        <v>34</v>
      </c>
      <c r="K255" s="17">
        <v>1846</v>
      </c>
      <c r="L255" t="str">
        <f ca="1">+IF(TODAY()-ICETEX[[#This Row],[fecha_ultimo_movimiento]]&gt;360,"Inactivo","Activo")</f>
        <v>Inactivo</v>
      </c>
      <c r="M255" s="24">
        <f>+VLOOKUP(ICETEX[[#This Row],[fecha_ultimo_movimiento]],UVR!A:B,2,0)</f>
        <v>276.43680000000001</v>
      </c>
      <c r="N255" s="24">
        <v>762</v>
      </c>
      <c r="O255" t="s">
        <v>3264</v>
      </c>
    </row>
    <row r="256" spans="1:15" ht="15" thickBot="1">
      <c r="A256" s="6">
        <v>255</v>
      </c>
      <c r="B256" s="1" t="s">
        <v>902</v>
      </c>
      <c r="C256" s="1" t="s">
        <v>903</v>
      </c>
      <c r="D256" s="2">
        <v>107006143</v>
      </c>
      <c r="E256" s="1" t="s">
        <v>12</v>
      </c>
      <c r="F256" s="25">
        <v>182846.44</v>
      </c>
      <c r="G256" s="4">
        <v>44952</v>
      </c>
      <c r="H256" s="4">
        <v>43255</v>
      </c>
      <c r="I256" s="1" t="s">
        <v>54</v>
      </c>
      <c r="J256" s="7" t="s">
        <v>904</v>
      </c>
      <c r="K256" s="17">
        <v>885</v>
      </c>
      <c r="L256" t="str">
        <f ca="1">+IF(TODAY()-ICETEX[[#This Row],[fecha_ultimo_movimiento]]&gt;360,"Inactivo","Activo")</f>
        <v>Inactivo</v>
      </c>
      <c r="M256" s="24">
        <f>+VLOOKUP(ICETEX[[#This Row],[fecha_ultimo_movimiento]],UVR!A:B,2,0)</f>
        <v>327.04950000000002</v>
      </c>
      <c r="N256" s="24">
        <v>559</v>
      </c>
      <c r="O256" t="s">
        <v>3264</v>
      </c>
    </row>
    <row r="257" spans="1:15" ht="15" thickBot="1">
      <c r="A257" s="6">
        <v>256</v>
      </c>
      <c r="B257" s="1" t="s">
        <v>905</v>
      </c>
      <c r="C257" s="1" t="s">
        <v>906</v>
      </c>
      <c r="D257" s="2">
        <v>21000089</v>
      </c>
      <c r="E257" s="1" t="s">
        <v>12</v>
      </c>
      <c r="F257" s="25">
        <v>169989.91</v>
      </c>
      <c r="G257" s="4">
        <v>44276</v>
      </c>
      <c r="H257" s="4">
        <v>42631</v>
      </c>
      <c r="I257" s="1" t="s">
        <v>907</v>
      </c>
      <c r="J257" s="7" t="s">
        <v>908</v>
      </c>
      <c r="K257" s="17">
        <v>1561</v>
      </c>
      <c r="L257" t="str">
        <f ca="1">+IF(TODAY()-ICETEX[[#This Row],[fecha_ultimo_movimiento]]&gt;360,"Inactivo","Activo")</f>
        <v>Inactivo</v>
      </c>
      <c r="M257" s="24">
        <f>+VLOOKUP(ICETEX[[#This Row],[fecha_ultimo_movimiento]],UVR!A:B,2,0)</f>
        <v>277.3809</v>
      </c>
      <c r="N257" s="24">
        <v>613</v>
      </c>
      <c r="O257" t="s">
        <v>3264</v>
      </c>
    </row>
    <row r="258" spans="1:15" ht="15" thickBot="1">
      <c r="A258" s="6">
        <v>257</v>
      </c>
      <c r="B258" s="1" t="s">
        <v>909</v>
      </c>
      <c r="C258" s="1" t="s">
        <v>910</v>
      </c>
      <c r="D258" s="2">
        <v>107000796</v>
      </c>
      <c r="E258" s="1" t="s">
        <v>45</v>
      </c>
      <c r="F258" s="25">
        <v>186453.68</v>
      </c>
      <c r="G258" s="4">
        <v>44166</v>
      </c>
      <c r="H258" s="4">
        <v>42818</v>
      </c>
      <c r="I258" s="1" t="s">
        <v>13</v>
      </c>
      <c r="J258" s="7" t="s">
        <v>911</v>
      </c>
      <c r="K258" s="17">
        <v>1671</v>
      </c>
      <c r="L258" t="str">
        <f ca="1">+IF(TODAY()-ICETEX[[#This Row],[fecha_ultimo_movimiento]]&gt;360,"Inactivo","Activo")</f>
        <v>Inactivo</v>
      </c>
      <c r="M258" s="24">
        <f>+VLOOKUP(ICETEX[[#This Row],[fecha_ultimo_movimiento]],UVR!A:B,2,0)</f>
        <v>275.35289999999998</v>
      </c>
      <c r="N258" s="24">
        <v>677</v>
      </c>
      <c r="O258" t="s">
        <v>3264</v>
      </c>
    </row>
    <row r="259" spans="1:15" ht="15" thickBot="1">
      <c r="A259" s="6">
        <v>258</v>
      </c>
      <c r="B259" s="1" t="s">
        <v>912</v>
      </c>
      <c r="C259" s="1" t="s">
        <v>913</v>
      </c>
      <c r="D259" s="2">
        <v>102005916</v>
      </c>
      <c r="E259" s="1" t="s">
        <v>12</v>
      </c>
      <c r="F259" s="25">
        <v>23204.32</v>
      </c>
      <c r="G259" s="4">
        <v>45317</v>
      </c>
      <c r="H259" s="4">
        <v>42570</v>
      </c>
      <c r="I259" s="1" t="s">
        <v>54</v>
      </c>
      <c r="J259" s="7" t="s">
        <v>914</v>
      </c>
      <c r="K259" s="17">
        <v>520</v>
      </c>
      <c r="L259" t="str">
        <f ca="1">+IF(TODAY()-ICETEX[[#This Row],[fecha_ultimo_movimiento]]&gt;360,"Inactivo","Activo")</f>
        <v>Inactivo</v>
      </c>
      <c r="M259" s="24">
        <f>+VLOOKUP(ICETEX[[#This Row],[fecha_ultimo_movimiento]],UVR!A:B,2,0)</f>
        <v>359.2167</v>
      </c>
      <c r="N259" s="24">
        <v>65</v>
      </c>
      <c r="O259" t="s">
        <v>3265</v>
      </c>
    </row>
    <row r="260" spans="1:15" ht="15" thickBot="1">
      <c r="A260" s="6">
        <v>259</v>
      </c>
      <c r="B260" s="1" t="s">
        <v>915</v>
      </c>
      <c r="C260" s="1" t="s">
        <v>916</v>
      </c>
      <c r="D260" s="2">
        <v>31207966</v>
      </c>
      <c r="E260" s="1" t="s">
        <v>12</v>
      </c>
      <c r="F260" s="25">
        <v>82120.75</v>
      </c>
      <c r="G260" s="4">
        <v>44142</v>
      </c>
      <c r="H260" s="4">
        <v>43364</v>
      </c>
      <c r="I260" s="1" t="s">
        <v>917</v>
      </c>
      <c r="J260" s="7" t="s">
        <v>918</v>
      </c>
      <c r="K260" s="17">
        <v>1695</v>
      </c>
      <c r="L260" t="str">
        <f ca="1">+IF(TODAY()-ICETEX[[#This Row],[fecha_ultimo_movimiento]]&gt;360,"Inactivo","Activo")</f>
        <v>Inactivo</v>
      </c>
      <c r="M260" s="24">
        <f>+VLOOKUP(ICETEX[[#This Row],[fecha_ultimo_movimiento]],UVR!A:B,2,0)</f>
        <v>275.21409999999997</v>
      </c>
      <c r="N260" s="24">
        <v>298</v>
      </c>
      <c r="O260" t="s">
        <v>3265</v>
      </c>
    </row>
    <row r="261" spans="1:15" ht="15" thickBot="1">
      <c r="A261" s="6">
        <v>260</v>
      </c>
      <c r="B261" s="1" t="s">
        <v>919</v>
      </c>
      <c r="C261" s="1" t="s">
        <v>920</v>
      </c>
      <c r="D261" s="2">
        <v>72000915</v>
      </c>
      <c r="E261" s="1" t="s">
        <v>45</v>
      </c>
      <c r="F261" s="25">
        <v>161928.81</v>
      </c>
      <c r="G261" s="4">
        <v>45216</v>
      </c>
      <c r="H261" s="4">
        <v>43448</v>
      </c>
      <c r="I261" s="1" t="s">
        <v>147</v>
      </c>
      <c r="J261" s="7" t="s">
        <v>921</v>
      </c>
      <c r="K261" s="17">
        <v>621</v>
      </c>
      <c r="L261" t="str">
        <f ca="1">+IF(TODAY()-ICETEX[[#This Row],[fecha_ultimo_movimiento]]&gt;360,"Inactivo","Activo")</f>
        <v>Inactivo</v>
      </c>
      <c r="M261" s="24">
        <f>+VLOOKUP(ICETEX[[#This Row],[fecha_ultimo_movimiento]],UVR!A:B,2,0)</f>
        <v>354.2876</v>
      </c>
      <c r="N261" s="24">
        <v>457</v>
      </c>
      <c r="O261" t="s">
        <v>3264</v>
      </c>
    </row>
    <row r="262" spans="1:15" ht="26.5" thickBot="1">
      <c r="A262" s="6">
        <v>261</v>
      </c>
      <c r="B262" s="1" t="s">
        <v>922</v>
      </c>
      <c r="C262" s="1" t="s">
        <v>923</v>
      </c>
      <c r="D262" s="2">
        <v>102102864</v>
      </c>
      <c r="E262" s="1" t="s">
        <v>45</v>
      </c>
      <c r="F262" s="25">
        <v>185207.92</v>
      </c>
      <c r="G262" s="4">
        <v>45291</v>
      </c>
      <c r="H262" s="4">
        <v>43196</v>
      </c>
      <c r="I262" s="1" t="s">
        <v>924</v>
      </c>
      <c r="J262" s="7" t="s">
        <v>925</v>
      </c>
      <c r="K262" s="17">
        <v>546</v>
      </c>
      <c r="L262" t="str">
        <f ca="1">+IF(TODAY()-ICETEX[[#This Row],[fecha_ultimo_movimiento]]&gt;360,"Inactivo","Activo")</f>
        <v>Inactivo</v>
      </c>
      <c r="M262" s="24">
        <f>+VLOOKUP(ICETEX[[#This Row],[fecha_ultimo_movimiento]],UVR!A:B,2,0)</f>
        <v>357.8322</v>
      </c>
      <c r="N262" s="24">
        <v>518</v>
      </c>
      <c r="O262" t="s">
        <v>3264</v>
      </c>
    </row>
    <row r="263" spans="1:15" ht="15" thickBot="1">
      <c r="A263" s="6">
        <v>262</v>
      </c>
      <c r="B263" s="1" t="s">
        <v>926</v>
      </c>
      <c r="C263" s="1" t="s">
        <v>927</v>
      </c>
      <c r="D263" s="2">
        <v>63103193</v>
      </c>
      <c r="E263" s="1" t="s">
        <v>12</v>
      </c>
      <c r="F263" s="25">
        <v>26276.02</v>
      </c>
      <c r="G263" s="4">
        <v>44941</v>
      </c>
      <c r="H263" s="4">
        <v>43388</v>
      </c>
      <c r="I263" s="1" t="s">
        <v>13</v>
      </c>
      <c r="J263" s="7" t="s">
        <v>598</v>
      </c>
      <c r="K263" s="17">
        <v>896</v>
      </c>
      <c r="L263" t="str">
        <f ca="1">+IF(TODAY()-ICETEX[[#This Row],[fecha_ultimo_movimiento]]&gt;360,"Inactivo","Activo")</f>
        <v>Inactivo</v>
      </c>
      <c r="M263" s="24">
        <f>+VLOOKUP(ICETEX[[#This Row],[fecha_ultimo_movimiento]],UVR!A:B,2,0)</f>
        <v>325.59960000000001</v>
      </c>
      <c r="N263" s="24">
        <v>81</v>
      </c>
      <c r="O263" t="s">
        <v>3265</v>
      </c>
    </row>
    <row r="264" spans="1:15" ht="15" thickBot="1">
      <c r="A264" s="6">
        <v>263</v>
      </c>
      <c r="B264" s="1" t="s">
        <v>928</v>
      </c>
      <c r="C264" s="1" t="s">
        <v>929</v>
      </c>
      <c r="D264" s="2">
        <v>101101057</v>
      </c>
      <c r="E264" s="1" t="s">
        <v>45</v>
      </c>
      <c r="F264" s="25">
        <v>159806.94</v>
      </c>
      <c r="G264" s="4">
        <v>44681</v>
      </c>
      <c r="H264" s="4">
        <v>42921</v>
      </c>
      <c r="I264" s="1" t="s">
        <v>930</v>
      </c>
      <c r="J264" s="7" t="s">
        <v>931</v>
      </c>
      <c r="K264" s="17">
        <v>1156</v>
      </c>
      <c r="L264" t="str">
        <f ca="1">+IF(TODAY()-ICETEX[[#This Row],[fecha_ultimo_movimiento]]&gt;360,"Inactivo","Activo")</f>
        <v>Inactivo</v>
      </c>
      <c r="M264" s="24">
        <f>+VLOOKUP(ICETEX[[#This Row],[fecha_ultimo_movimiento]],UVR!A:B,2,0)</f>
        <v>302.62689999999998</v>
      </c>
      <c r="N264" s="24">
        <v>528</v>
      </c>
      <c r="O264" t="s">
        <v>3264</v>
      </c>
    </row>
    <row r="265" spans="1:15" ht="15" thickBot="1">
      <c r="A265" s="6">
        <v>264</v>
      </c>
      <c r="B265" s="1" t="s">
        <v>932</v>
      </c>
      <c r="C265" s="1" t="s">
        <v>933</v>
      </c>
      <c r="D265" s="2">
        <v>84301767</v>
      </c>
      <c r="E265" s="1" t="s">
        <v>45</v>
      </c>
      <c r="F265" s="25">
        <v>37441.53</v>
      </c>
      <c r="G265" s="4">
        <v>44725</v>
      </c>
      <c r="H265" s="4">
        <v>42917</v>
      </c>
      <c r="I265" s="1" t="s">
        <v>13</v>
      </c>
      <c r="J265" s="7" t="s">
        <v>934</v>
      </c>
      <c r="K265" s="17">
        <v>1112</v>
      </c>
      <c r="L265" t="str">
        <f ca="1">+IF(TODAY()-ICETEX[[#This Row],[fecha_ultimo_movimiento]]&gt;360,"Inactivo","Activo")</f>
        <v>Inactivo</v>
      </c>
      <c r="M265" s="24">
        <f>+VLOOKUP(ICETEX[[#This Row],[fecha_ultimo_movimiento]],UVR!A:B,2,0)</f>
        <v>307.69130000000001</v>
      </c>
      <c r="N265" s="24">
        <v>122</v>
      </c>
      <c r="O265" t="s">
        <v>3265</v>
      </c>
    </row>
    <row r="266" spans="1:15" ht="15" thickBot="1">
      <c r="A266" s="6">
        <v>265</v>
      </c>
      <c r="B266" s="1" t="s">
        <v>935</v>
      </c>
      <c r="C266" s="1" t="s">
        <v>936</v>
      </c>
      <c r="D266" s="2">
        <v>81307227</v>
      </c>
      <c r="E266" s="1" t="s">
        <v>45</v>
      </c>
      <c r="F266" s="25">
        <v>135241.13</v>
      </c>
      <c r="G266" s="4">
        <v>44546</v>
      </c>
      <c r="H266" s="4">
        <v>42545</v>
      </c>
      <c r="I266" s="1" t="s">
        <v>937</v>
      </c>
      <c r="J266" s="7" t="s">
        <v>938</v>
      </c>
      <c r="K266" s="17">
        <v>1291</v>
      </c>
      <c r="L266" t="str">
        <f ca="1">+IF(TODAY()-ICETEX[[#This Row],[fecha_ultimo_movimiento]]&gt;360,"Inactivo","Activo")</f>
        <v>Inactivo</v>
      </c>
      <c r="M266" s="24">
        <f>+VLOOKUP(ICETEX[[#This Row],[fecha_ultimo_movimiento]],UVR!A:B,2,0)</f>
        <v>287.92340000000002</v>
      </c>
      <c r="N266" s="24">
        <v>470</v>
      </c>
      <c r="O266" t="s">
        <v>3264</v>
      </c>
    </row>
    <row r="267" spans="1:15" ht="15" thickBot="1">
      <c r="A267" s="6">
        <v>266</v>
      </c>
      <c r="B267" s="1" t="s">
        <v>939</v>
      </c>
      <c r="C267" s="1" t="s">
        <v>940</v>
      </c>
      <c r="D267" s="2">
        <v>221370616</v>
      </c>
      <c r="E267" s="1" t="s">
        <v>12</v>
      </c>
      <c r="F267" s="25">
        <v>86999.26</v>
      </c>
      <c r="G267" s="4">
        <v>45057</v>
      </c>
      <c r="H267" s="4">
        <v>43216</v>
      </c>
      <c r="I267" s="1" t="s">
        <v>96</v>
      </c>
      <c r="J267" s="7" t="s">
        <v>941</v>
      </c>
      <c r="K267" s="17">
        <v>780</v>
      </c>
      <c r="L267" t="str">
        <f ca="1">+IF(TODAY()-ICETEX[[#This Row],[fecha_ultimo_movimiento]]&gt;360,"Inactivo","Activo")</f>
        <v>Inactivo</v>
      </c>
      <c r="M267" s="24">
        <f>+VLOOKUP(ICETEX[[#This Row],[fecha_ultimo_movimiento]],UVR!A:B,2,0)</f>
        <v>344.24360000000001</v>
      </c>
      <c r="N267" s="24">
        <v>253</v>
      </c>
      <c r="O267" t="s">
        <v>3265</v>
      </c>
    </row>
    <row r="268" spans="1:15" ht="15" thickBot="1">
      <c r="A268" s="6">
        <v>267</v>
      </c>
      <c r="B268" s="1" t="s">
        <v>942</v>
      </c>
      <c r="C268" s="1" t="s">
        <v>943</v>
      </c>
      <c r="D268" s="2">
        <v>51008996</v>
      </c>
      <c r="E268" s="1" t="s">
        <v>45</v>
      </c>
      <c r="F268" s="25">
        <v>103645.52</v>
      </c>
      <c r="G268" s="4">
        <v>45678</v>
      </c>
      <c r="H268" s="4">
        <v>43063</v>
      </c>
      <c r="I268" s="1" t="s">
        <v>29</v>
      </c>
      <c r="J268" s="7" t="s">
        <v>944</v>
      </c>
      <c r="K268" s="17">
        <v>159</v>
      </c>
      <c r="L268" t="str">
        <f ca="1">+IF(TODAY()-ICETEX[[#This Row],[fecha_ultimo_movimiento]]&gt;360,"Inactivo","Activo")</f>
        <v>Activo</v>
      </c>
      <c r="M268" s="24">
        <f>+VLOOKUP(ICETEX[[#This Row],[fecha_ultimo_movimiento]],UVR!A:B,2,0)</f>
        <v>377.6035</v>
      </c>
      <c r="N268" s="24">
        <v>274</v>
      </c>
      <c r="O268" t="s">
        <v>3264</v>
      </c>
    </row>
    <row r="269" spans="1:15" ht="15" thickBot="1">
      <c r="A269" s="6">
        <v>268</v>
      </c>
      <c r="B269" s="1" t="s">
        <v>945</v>
      </c>
      <c r="C269" s="1" t="s">
        <v>946</v>
      </c>
      <c r="D269" s="2">
        <v>71006282</v>
      </c>
      <c r="E269" s="1" t="s">
        <v>45</v>
      </c>
      <c r="F269" s="25">
        <v>156636.01</v>
      </c>
      <c r="G269" s="4">
        <v>45512</v>
      </c>
      <c r="H269" s="4">
        <v>42421</v>
      </c>
      <c r="I269" s="1" t="s">
        <v>947</v>
      </c>
      <c r="J269" s="8" t="s">
        <v>948</v>
      </c>
      <c r="K269" s="17">
        <v>325</v>
      </c>
      <c r="L269" t="str">
        <f ca="1">+IF(TODAY()-ICETEX[[#This Row],[fecha_ultimo_movimiento]]&gt;360,"Inactivo","Activo")</f>
        <v>Activo</v>
      </c>
      <c r="M269" s="24">
        <f>+VLOOKUP(ICETEX[[#This Row],[fecha_ultimo_movimiento]],UVR!A:B,2,0)</f>
        <v>374.81939999999997</v>
      </c>
      <c r="N269" s="24">
        <v>418</v>
      </c>
      <c r="O269" t="s">
        <v>3264</v>
      </c>
    </row>
    <row r="270" spans="1:15" ht="15" thickBot="1">
      <c r="A270" s="6">
        <v>269</v>
      </c>
      <c r="B270" s="1" t="s">
        <v>949</v>
      </c>
      <c r="C270" s="1" t="s">
        <v>950</v>
      </c>
      <c r="D270" s="2">
        <v>273970941</v>
      </c>
      <c r="E270" s="1" t="s">
        <v>45</v>
      </c>
      <c r="F270" s="25">
        <v>132144.18</v>
      </c>
      <c r="G270" s="4">
        <v>44951</v>
      </c>
      <c r="H270" s="4">
        <v>42671</v>
      </c>
      <c r="I270" s="1" t="s">
        <v>951</v>
      </c>
      <c r="J270" s="7" t="s">
        <v>952</v>
      </c>
      <c r="K270" s="17">
        <v>886</v>
      </c>
      <c r="L270" t="str">
        <f ca="1">+IF(TODAY()-ICETEX[[#This Row],[fecha_ultimo_movimiento]]&gt;360,"Inactivo","Activo")</f>
        <v>Inactivo</v>
      </c>
      <c r="M270" s="24">
        <f>+VLOOKUP(ICETEX[[#This Row],[fecha_ultimo_movimiento]],UVR!A:B,2,0)</f>
        <v>326.91739999999999</v>
      </c>
      <c r="N270" s="24">
        <v>404</v>
      </c>
      <c r="O270" t="s">
        <v>3264</v>
      </c>
    </row>
    <row r="271" spans="1:15" ht="15" thickBot="1">
      <c r="A271" s="6">
        <v>270</v>
      </c>
      <c r="B271" s="1" t="s">
        <v>953</v>
      </c>
      <c r="C271" s="1" t="s">
        <v>954</v>
      </c>
      <c r="D271" s="2">
        <v>55002480</v>
      </c>
      <c r="E271" s="1" t="s">
        <v>12</v>
      </c>
      <c r="F271" s="25">
        <v>137447.12</v>
      </c>
      <c r="G271" s="4">
        <v>44571</v>
      </c>
      <c r="H271" s="4">
        <v>43133</v>
      </c>
      <c r="I271" s="1" t="s">
        <v>88</v>
      </c>
      <c r="J271" s="7" t="s">
        <v>955</v>
      </c>
      <c r="K271" s="17">
        <v>1266</v>
      </c>
      <c r="L271" t="str">
        <f ca="1">+IF(TODAY()-ICETEX[[#This Row],[fecha_ultimo_movimiento]]&gt;360,"Inactivo","Activo")</f>
        <v>Inactivo</v>
      </c>
      <c r="M271" s="24">
        <f>+VLOOKUP(ICETEX[[#This Row],[fecha_ultimo_movimiento]],UVR!A:B,2,0)</f>
        <v>289.0838</v>
      </c>
      <c r="N271" s="24">
        <v>475</v>
      </c>
      <c r="O271" t="s">
        <v>3264</v>
      </c>
    </row>
    <row r="272" spans="1:15" ht="15" thickBot="1">
      <c r="A272" s="6">
        <v>271</v>
      </c>
      <c r="B272" s="1" t="s">
        <v>956</v>
      </c>
      <c r="C272" s="1" t="s">
        <v>957</v>
      </c>
      <c r="D272" s="2">
        <v>72402704</v>
      </c>
      <c r="E272" s="1" t="s">
        <v>45</v>
      </c>
      <c r="F272" s="25">
        <v>100684.47</v>
      </c>
      <c r="G272" s="4">
        <v>45177</v>
      </c>
      <c r="H272" s="4">
        <v>42997</v>
      </c>
      <c r="I272" s="1" t="s">
        <v>131</v>
      </c>
      <c r="J272" s="7" t="s">
        <v>958</v>
      </c>
      <c r="K272" s="17">
        <v>660</v>
      </c>
      <c r="L272" t="str">
        <f ca="1">+IF(TODAY()-ICETEX[[#This Row],[fecha_ultimo_movimiento]]&gt;360,"Inactivo","Activo")</f>
        <v>Inactivo</v>
      </c>
      <c r="M272" s="24">
        <f>+VLOOKUP(ICETEX[[#This Row],[fecha_ultimo_movimiento]],UVR!A:B,2,0)</f>
        <v>351.30669999999998</v>
      </c>
      <c r="N272" s="24">
        <v>287</v>
      </c>
      <c r="O272" t="s">
        <v>3265</v>
      </c>
    </row>
    <row r="273" spans="1:15" ht="15" thickBot="1">
      <c r="A273" s="6">
        <v>272</v>
      </c>
      <c r="B273" s="1" t="s">
        <v>959</v>
      </c>
      <c r="C273" s="1" t="s">
        <v>960</v>
      </c>
      <c r="D273" s="2">
        <v>113193532</v>
      </c>
      <c r="E273" s="1" t="s">
        <v>12</v>
      </c>
      <c r="F273" s="25">
        <v>68610.89</v>
      </c>
      <c r="G273" s="4">
        <v>44387</v>
      </c>
      <c r="H273" s="4">
        <v>42604</v>
      </c>
      <c r="I273" s="1" t="s">
        <v>907</v>
      </c>
      <c r="J273" s="7" t="s">
        <v>961</v>
      </c>
      <c r="K273" s="17">
        <v>1450</v>
      </c>
      <c r="L273" t="str">
        <f ca="1">+IF(TODAY()-ICETEX[[#This Row],[fecha_ultimo_movimiento]]&gt;360,"Inactivo","Activo")</f>
        <v>Inactivo</v>
      </c>
      <c r="M273" s="24">
        <f>+VLOOKUP(ICETEX[[#This Row],[fecha_ultimo_movimiento]],UVR!A:B,2,0)</f>
        <v>284.23399999999998</v>
      </c>
      <c r="N273" s="24">
        <v>241</v>
      </c>
      <c r="O273" t="s">
        <v>3265</v>
      </c>
    </row>
    <row r="274" spans="1:15" ht="15" thickBot="1">
      <c r="A274" s="6">
        <v>273</v>
      </c>
      <c r="B274" s="1" t="s">
        <v>962</v>
      </c>
      <c r="C274" s="1" t="s">
        <v>963</v>
      </c>
      <c r="D274" s="2">
        <v>73903503</v>
      </c>
      <c r="E274" s="1" t="s">
        <v>12</v>
      </c>
      <c r="F274" s="25">
        <v>111737.07</v>
      </c>
      <c r="G274" s="4">
        <v>45539</v>
      </c>
      <c r="H274" s="4">
        <v>43129</v>
      </c>
      <c r="I274" s="1" t="s">
        <v>964</v>
      </c>
      <c r="J274" s="7" t="s">
        <v>965</v>
      </c>
      <c r="K274" s="17">
        <v>298</v>
      </c>
      <c r="L274" t="str">
        <f ca="1">+IF(TODAY()-ICETEX[[#This Row],[fecha_ultimo_movimiento]]&gt;360,"Inactivo","Activo")</f>
        <v>Activo</v>
      </c>
      <c r="M274" s="24">
        <f>+VLOOKUP(ICETEX[[#This Row],[fecha_ultimo_movimiento]],UVR!A:B,2,0)</f>
        <v>375.57369999999997</v>
      </c>
      <c r="N274" s="24">
        <v>298</v>
      </c>
      <c r="O274" t="s">
        <v>3264</v>
      </c>
    </row>
    <row r="275" spans="1:15" ht="15" thickBot="1">
      <c r="A275" s="6">
        <v>274</v>
      </c>
      <c r="B275" s="1" t="s">
        <v>966</v>
      </c>
      <c r="C275" s="1" t="s">
        <v>967</v>
      </c>
      <c r="D275" s="2">
        <v>62203395</v>
      </c>
      <c r="E275" s="1" t="s">
        <v>12</v>
      </c>
      <c r="F275" s="25">
        <v>101224.91</v>
      </c>
      <c r="G275" s="4">
        <v>44532</v>
      </c>
      <c r="H275" s="4">
        <v>42662</v>
      </c>
      <c r="I275" s="1" t="s">
        <v>968</v>
      </c>
      <c r="J275" s="7" t="s">
        <v>969</v>
      </c>
      <c r="K275" s="17">
        <v>1305</v>
      </c>
      <c r="L275" t="str">
        <f ca="1">+IF(TODAY()-ICETEX[[#This Row],[fecha_ultimo_movimiento]]&gt;360,"Inactivo","Activo")</f>
        <v>Inactivo</v>
      </c>
      <c r="M275" s="24">
        <f>+VLOOKUP(ICETEX[[#This Row],[fecha_ultimo_movimiento]],UVR!A:B,2,0)</f>
        <v>287.8646</v>
      </c>
      <c r="N275" s="24">
        <v>352</v>
      </c>
      <c r="O275" t="s">
        <v>3264</v>
      </c>
    </row>
    <row r="276" spans="1:15" ht="15" thickBot="1">
      <c r="A276" s="6">
        <v>275</v>
      </c>
      <c r="B276" s="1" t="s">
        <v>970</v>
      </c>
      <c r="C276" s="1" t="s">
        <v>971</v>
      </c>
      <c r="D276" s="2">
        <v>75907413</v>
      </c>
      <c r="E276" s="1" t="s">
        <v>12</v>
      </c>
      <c r="F276" s="25">
        <v>32766.799999999999</v>
      </c>
      <c r="G276" s="4">
        <v>44581</v>
      </c>
      <c r="H276" s="4">
        <v>43309</v>
      </c>
      <c r="I276" s="1" t="s">
        <v>972</v>
      </c>
      <c r="J276" s="7" t="s">
        <v>973</v>
      </c>
      <c r="K276" s="17">
        <v>1256</v>
      </c>
      <c r="L276" t="str">
        <f ca="1">+IF(TODAY()-ICETEX[[#This Row],[fecha_ultimo_movimiento]]&gt;360,"Inactivo","Activo")</f>
        <v>Inactivo</v>
      </c>
      <c r="M276" s="24">
        <f>+VLOOKUP(ICETEX[[#This Row],[fecha_ultimo_movimiento]],UVR!A:B,2,0)</f>
        <v>289.65609999999998</v>
      </c>
      <c r="N276" s="24">
        <v>113</v>
      </c>
      <c r="O276" t="s">
        <v>3265</v>
      </c>
    </row>
    <row r="277" spans="1:15" ht="15" thickBot="1">
      <c r="A277" s="6">
        <v>276</v>
      </c>
      <c r="B277" s="1" t="s">
        <v>974</v>
      </c>
      <c r="C277" s="1" t="s">
        <v>975</v>
      </c>
      <c r="D277" s="2">
        <v>261170740</v>
      </c>
      <c r="E277" s="1" t="s">
        <v>45</v>
      </c>
      <c r="F277" s="25">
        <v>97070.64</v>
      </c>
      <c r="G277" s="4">
        <v>45826</v>
      </c>
      <c r="H277" s="4">
        <v>43069</v>
      </c>
      <c r="I277" s="1" t="s">
        <v>25</v>
      </c>
      <c r="J277" s="7" t="s">
        <v>976</v>
      </c>
      <c r="K277" s="17">
        <v>11</v>
      </c>
      <c r="L277" t="str">
        <f ca="1">+IF(TODAY()-ICETEX[[#This Row],[fecha_ultimo_movimiento]]&gt;360,"Inactivo","Activo")</f>
        <v>Activo</v>
      </c>
      <c r="M277" s="24">
        <f>+VLOOKUP(ICETEX[[#This Row],[fecha_ultimo_movimiento]],UVR!A:B,2,0)</f>
        <v>391.63159999999999</v>
      </c>
      <c r="N277" s="24">
        <v>248</v>
      </c>
      <c r="O277" t="s">
        <v>3264</v>
      </c>
    </row>
    <row r="278" spans="1:15" ht="15" thickBot="1">
      <c r="A278" s="6">
        <v>277</v>
      </c>
      <c r="B278" s="1" t="s">
        <v>977</v>
      </c>
      <c r="C278" s="1" t="s">
        <v>978</v>
      </c>
      <c r="D278" s="2">
        <v>91902531</v>
      </c>
      <c r="E278" s="1" t="s">
        <v>45</v>
      </c>
      <c r="F278" s="25">
        <v>80635.58</v>
      </c>
      <c r="G278" s="4">
        <v>44758</v>
      </c>
      <c r="H278" s="4">
        <v>42712</v>
      </c>
      <c r="I278" s="1" t="s">
        <v>979</v>
      </c>
      <c r="J278" s="7" t="s">
        <v>980</v>
      </c>
      <c r="K278" s="17">
        <v>1079</v>
      </c>
      <c r="L278" t="str">
        <f ca="1">+IF(TODAY()-ICETEX[[#This Row],[fecha_ultimo_movimiento]]&gt;360,"Inactivo","Activo")</f>
        <v>Inactivo</v>
      </c>
      <c r="M278" s="24">
        <f>+VLOOKUP(ICETEX[[#This Row],[fecha_ultimo_movimiento]],UVR!A:B,2,0)</f>
        <v>310.57569999999998</v>
      </c>
      <c r="N278" s="24">
        <v>260</v>
      </c>
      <c r="O278" t="s">
        <v>3265</v>
      </c>
    </row>
    <row r="279" spans="1:15" ht="15" thickBot="1">
      <c r="A279" s="6">
        <v>278</v>
      </c>
      <c r="B279" s="1" t="s">
        <v>981</v>
      </c>
      <c r="C279" s="1" t="s">
        <v>982</v>
      </c>
      <c r="D279" s="2">
        <v>84202837</v>
      </c>
      <c r="E279" s="1" t="s">
        <v>12</v>
      </c>
      <c r="F279" s="25">
        <v>196826.86</v>
      </c>
      <c r="G279" s="4">
        <v>43969</v>
      </c>
      <c r="H279" s="4">
        <v>42754</v>
      </c>
      <c r="I279" s="1" t="s">
        <v>135</v>
      </c>
      <c r="J279" s="7" t="s">
        <v>983</v>
      </c>
      <c r="K279" s="17">
        <v>1868</v>
      </c>
      <c r="L279" t="str">
        <f ca="1">+IF(TODAY()-ICETEX[[#This Row],[fecha_ultimo_movimiento]]&gt;360,"Inactivo","Activo")</f>
        <v>Inactivo</v>
      </c>
      <c r="M279" s="24">
        <f>+VLOOKUP(ICETEX[[#This Row],[fecha_ultimo_movimiento]],UVR!A:B,2,0)</f>
        <v>276.12329999999997</v>
      </c>
      <c r="N279" s="24">
        <v>713</v>
      </c>
      <c r="O279" t="s">
        <v>3264</v>
      </c>
    </row>
    <row r="280" spans="1:15" ht="15" thickBot="1">
      <c r="A280" s="6">
        <v>279</v>
      </c>
      <c r="B280" s="1" t="s">
        <v>984</v>
      </c>
      <c r="C280" s="1" t="s">
        <v>985</v>
      </c>
      <c r="D280" s="2">
        <v>122237515</v>
      </c>
      <c r="E280" s="1" t="s">
        <v>12</v>
      </c>
      <c r="F280" s="25">
        <v>108210.71</v>
      </c>
      <c r="G280" s="4">
        <v>45335</v>
      </c>
      <c r="H280" s="4">
        <v>42460</v>
      </c>
      <c r="I280" s="1" t="s">
        <v>986</v>
      </c>
      <c r="J280" s="8" t="s">
        <v>316</v>
      </c>
      <c r="K280" s="17">
        <v>502</v>
      </c>
      <c r="L280" t="str">
        <f ca="1">+IF(TODAY()-ICETEX[[#This Row],[fecha_ultimo_movimiento]]&gt;360,"Inactivo","Activo")</f>
        <v>Inactivo</v>
      </c>
      <c r="M280" s="24">
        <f>+VLOOKUP(ICETEX[[#This Row],[fecha_ultimo_movimiento]],UVR!A:B,2,0)</f>
        <v>360.15449999999998</v>
      </c>
      <c r="N280" s="24">
        <v>300</v>
      </c>
      <c r="O280" t="s">
        <v>3265</v>
      </c>
    </row>
    <row r="281" spans="1:15" ht="15" thickBot="1">
      <c r="A281" s="6">
        <v>280</v>
      </c>
      <c r="B281" s="1" t="s">
        <v>987</v>
      </c>
      <c r="C281" s="1" t="s">
        <v>988</v>
      </c>
      <c r="D281" s="2">
        <v>71926320</v>
      </c>
      <c r="E281" s="1" t="s">
        <v>45</v>
      </c>
      <c r="F281" s="25">
        <v>112899.42</v>
      </c>
      <c r="G281" s="4">
        <v>45202</v>
      </c>
      <c r="H281" s="4">
        <v>42550</v>
      </c>
      <c r="I281" s="1" t="s">
        <v>127</v>
      </c>
      <c r="J281" s="7" t="s">
        <v>989</v>
      </c>
      <c r="K281" s="17">
        <v>635</v>
      </c>
      <c r="L281" t="str">
        <f ca="1">+IF(TODAY()-ICETEX[[#This Row],[fecha_ultimo_movimiento]]&gt;360,"Inactivo","Activo")</f>
        <v>Inactivo</v>
      </c>
      <c r="M281" s="24">
        <f>+VLOOKUP(ICETEX[[#This Row],[fecha_ultimo_movimiento]],UVR!A:B,2,0)</f>
        <v>353.17770000000002</v>
      </c>
      <c r="N281" s="24">
        <v>320</v>
      </c>
      <c r="O281" t="s">
        <v>3265</v>
      </c>
    </row>
    <row r="282" spans="1:15" ht="26.5" thickBot="1">
      <c r="A282" s="6">
        <v>281</v>
      </c>
      <c r="B282" s="1" t="s">
        <v>990</v>
      </c>
      <c r="C282" s="1" t="s">
        <v>991</v>
      </c>
      <c r="D282" s="2">
        <v>82904726</v>
      </c>
      <c r="E282" s="1" t="s">
        <v>12</v>
      </c>
      <c r="F282" s="25">
        <v>56532.41</v>
      </c>
      <c r="G282" s="4">
        <v>45543</v>
      </c>
      <c r="H282" s="4">
        <v>42587</v>
      </c>
      <c r="I282" s="1" t="s">
        <v>992</v>
      </c>
      <c r="J282" s="8" t="s">
        <v>993</v>
      </c>
      <c r="K282" s="17">
        <v>294</v>
      </c>
      <c r="L282" t="str">
        <f ca="1">+IF(TODAY()-ICETEX[[#This Row],[fecha_ultimo_movimiento]]&gt;360,"Inactivo","Activo")</f>
        <v>Activo</v>
      </c>
      <c r="M282" s="24">
        <f>+VLOOKUP(ICETEX[[#This Row],[fecha_ultimo_movimiento]],UVR!A:B,2,0)</f>
        <v>375.67059999999998</v>
      </c>
      <c r="N282" s="24">
        <v>150</v>
      </c>
      <c r="O282" t="s">
        <v>3264</v>
      </c>
    </row>
    <row r="283" spans="1:15" ht="15" thickBot="1">
      <c r="A283" s="6">
        <v>282</v>
      </c>
      <c r="B283" s="1" t="s">
        <v>994</v>
      </c>
      <c r="C283" s="1" t="s">
        <v>995</v>
      </c>
      <c r="D283" s="2">
        <v>111000805</v>
      </c>
      <c r="E283" s="1" t="s">
        <v>45</v>
      </c>
      <c r="F283" s="25">
        <v>179289.19</v>
      </c>
      <c r="G283" s="4">
        <v>45493</v>
      </c>
      <c r="H283" s="4">
        <v>42642</v>
      </c>
      <c r="I283" s="1" t="s">
        <v>534</v>
      </c>
      <c r="J283" s="7" t="s">
        <v>996</v>
      </c>
      <c r="K283" s="17">
        <v>344</v>
      </c>
      <c r="L283" t="str">
        <f ca="1">+IF(TODAY()-ICETEX[[#This Row],[fecha_ultimo_movimiento]]&gt;360,"Inactivo","Activo")</f>
        <v>Activo</v>
      </c>
      <c r="M283" s="24">
        <f>+VLOOKUP(ICETEX[[#This Row],[fecha_ultimo_movimiento]],UVR!A:B,2,0)</f>
        <v>374.08609999999999</v>
      </c>
      <c r="N283" s="24">
        <v>479</v>
      </c>
      <c r="O283" t="s">
        <v>3264</v>
      </c>
    </row>
    <row r="284" spans="1:15" ht="15" thickBot="1">
      <c r="A284" s="6">
        <v>283</v>
      </c>
      <c r="B284" s="1" t="s">
        <v>997</v>
      </c>
      <c r="C284" s="1" t="s">
        <v>998</v>
      </c>
      <c r="D284" s="2">
        <v>71002503</v>
      </c>
      <c r="E284" s="1" t="s">
        <v>45</v>
      </c>
      <c r="F284" s="25">
        <v>150572.88</v>
      </c>
      <c r="G284" s="4">
        <v>45264</v>
      </c>
      <c r="H284" s="4">
        <v>42456</v>
      </c>
      <c r="I284" s="1" t="s">
        <v>50</v>
      </c>
      <c r="J284" s="7" t="s">
        <v>999</v>
      </c>
      <c r="K284" s="17">
        <v>573</v>
      </c>
      <c r="L284" t="str">
        <f ca="1">+IF(TODAY()-ICETEX[[#This Row],[fecha_ultimo_movimiento]]&gt;360,"Inactivo","Activo")</f>
        <v>Inactivo</v>
      </c>
      <c r="M284" s="24">
        <f>+VLOOKUP(ICETEX[[#This Row],[fecha_ultimo_movimiento]],UVR!A:B,2,0)</f>
        <v>356.64049999999997</v>
      </c>
      <c r="N284" s="24">
        <v>422</v>
      </c>
      <c r="O284" t="s">
        <v>3264</v>
      </c>
    </row>
    <row r="285" spans="1:15" ht="15" thickBot="1">
      <c r="A285" s="6">
        <v>284</v>
      </c>
      <c r="B285" s="1" t="s">
        <v>1000</v>
      </c>
      <c r="C285" s="1" t="s">
        <v>1001</v>
      </c>
      <c r="D285" s="2">
        <v>55003340</v>
      </c>
      <c r="E285" s="1" t="s">
        <v>45</v>
      </c>
      <c r="F285" s="25">
        <v>200455.15</v>
      </c>
      <c r="G285" s="4">
        <v>44772</v>
      </c>
      <c r="H285" s="4">
        <v>43029</v>
      </c>
      <c r="I285" s="1" t="s">
        <v>1002</v>
      </c>
      <c r="J285" s="7" t="s">
        <v>1003</v>
      </c>
      <c r="K285" s="17">
        <v>1065</v>
      </c>
      <c r="L285" t="str">
        <f ca="1">+IF(TODAY()-ICETEX[[#This Row],[fecha_ultimo_movimiento]]&gt;360,"Inactivo","Activo")</f>
        <v>Inactivo</v>
      </c>
      <c r="M285" s="24">
        <f>+VLOOKUP(ICETEX[[#This Row],[fecha_ultimo_movimiento]],UVR!A:B,2,0)</f>
        <v>311.29000000000002</v>
      </c>
      <c r="N285" s="24">
        <v>644</v>
      </c>
      <c r="O285" t="s">
        <v>3264</v>
      </c>
    </row>
    <row r="286" spans="1:15" ht="15" thickBot="1">
      <c r="A286" s="6">
        <v>285</v>
      </c>
      <c r="B286" s="1" t="s">
        <v>1004</v>
      </c>
      <c r="C286" s="1" t="s">
        <v>1005</v>
      </c>
      <c r="D286" s="2">
        <v>102303841</v>
      </c>
      <c r="E286" s="1" t="s">
        <v>12</v>
      </c>
      <c r="F286" s="25">
        <v>206737.95</v>
      </c>
      <c r="G286" s="4">
        <v>44663</v>
      </c>
      <c r="H286" s="4">
        <v>42430</v>
      </c>
      <c r="I286" s="1" t="s">
        <v>1006</v>
      </c>
      <c r="J286" s="7" t="s">
        <v>1007</v>
      </c>
      <c r="K286" s="17">
        <v>1174</v>
      </c>
      <c r="L286" t="str">
        <f ca="1">+IF(TODAY()-ICETEX[[#This Row],[fecha_ultimo_movimiento]]&gt;360,"Inactivo","Activo")</f>
        <v>Inactivo</v>
      </c>
      <c r="M286" s="24">
        <f>+VLOOKUP(ICETEX[[#This Row],[fecha_ultimo_movimiento]],UVR!A:B,2,0)</f>
        <v>300.6542</v>
      </c>
      <c r="N286" s="24">
        <v>688</v>
      </c>
      <c r="O286" t="s">
        <v>3264</v>
      </c>
    </row>
    <row r="287" spans="1:15" ht="15" thickBot="1">
      <c r="A287" s="6">
        <v>286</v>
      </c>
      <c r="B287" s="1" t="s">
        <v>1008</v>
      </c>
      <c r="C287" s="1" t="s">
        <v>1009</v>
      </c>
      <c r="D287" s="2">
        <v>103102494</v>
      </c>
      <c r="E287" s="1" t="s">
        <v>45</v>
      </c>
      <c r="F287" s="25">
        <v>193836.39</v>
      </c>
      <c r="G287" s="4">
        <v>45777</v>
      </c>
      <c r="H287" s="4">
        <v>43422</v>
      </c>
      <c r="I287" s="1" t="s">
        <v>1010</v>
      </c>
      <c r="J287" s="7" t="s">
        <v>1011</v>
      </c>
      <c r="K287" s="17">
        <v>60</v>
      </c>
      <c r="L287" t="str">
        <f ca="1">+IF(TODAY()-ICETEX[[#This Row],[fecha_ultimo_movimiento]]&gt;360,"Inactivo","Activo")</f>
        <v>Activo</v>
      </c>
      <c r="M287" s="24">
        <f>+VLOOKUP(ICETEX[[#This Row],[fecha_ultimo_movimiento]],UVR!A:B,2,0)</f>
        <v>387.93220000000002</v>
      </c>
      <c r="N287" s="24">
        <v>500</v>
      </c>
      <c r="O287" t="s">
        <v>3264</v>
      </c>
    </row>
    <row r="288" spans="1:15" ht="15" thickBot="1">
      <c r="A288" s="6">
        <v>287</v>
      </c>
      <c r="B288" s="1" t="s">
        <v>1012</v>
      </c>
      <c r="C288" s="1" t="s">
        <v>1013</v>
      </c>
      <c r="D288" s="2">
        <v>72403473</v>
      </c>
      <c r="E288" s="1" t="s">
        <v>45</v>
      </c>
      <c r="F288" s="25">
        <v>158109.4</v>
      </c>
      <c r="G288" s="4">
        <v>45513</v>
      </c>
      <c r="H288" s="4">
        <v>43016</v>
      </c>
      <c r="I288" s="1" t="s">
        <v>1014</v>
      </c>
      <c r="J288" s="7" t="s">
        <v>1015</v>
      </c>
      <c r="K288" s="17">
        <v>324</v>
      </c>
      <c r="L288" t="str">
        <f ca="1">+IF(TODAY()-ICETEX[[#This Row],[fecha_ultimo_movimiento]]&gt;360,"Inactivo","Activo")</f>
        <v>Activo</v>
      </c>
      <c r="M288" s="24">
        <f>+VLOOKUP(ICETEX[[#This Row],[fecha_ultimo_movimiento]],UVR!A:B,2,0)</f>
        <v>374.858</v>
      </c>
      <c r="N288" s="24">
        <v>422</v>
      </c>
      <c r="O288" t="s">
        <v>3264</v>
      </c>
    </row>
    <row r="289" spans="1:15" ht="15" thickBot="1">
      <c r="A289" s="6">
        <v>288</v>
      </c>
      <c r="B289" s="1" t="s">
        <v>1016</v>
      </c>
      <c r="C289" s="1" t="s">
        <v>1017</v>
      </c>
      <c r="D289" s="2">
        <v>81925816</v>
      </c>
      <c r="E289" s="1" t="s">
        <v>12</v>
      </c>
      <c r="F289" s="25">
        <v>117837.78</v>
      </c>
      <c r="G289" s="4">
        <v>45727</v>
      </c>
      <c r="H289" s="4">
        <v>42766</v>
      </c>
      <c r="I289" s="1" t="s">
        <v>1018</v>
      </c>
      <c r="J289" s="8" t="s">
        <v>1019</v>
      </c>
      <c r="K289" s="17">
        <v>110</v>
      </c>
      <c r="L289" t="str">
        <f ca="1">+IF(TODAY()-ICETEX[[#This Row],[fecha_ultimo_movimiento]]&gt;360,"Inactivo","Activo")</f>
        <v>Activo</v>
      </c>
      <c r="M289" s="24">
        <f>+VLOOKUP(ICETEX[[#This Row],[fecha_ultimo_movimiento]],UVR!A:B,2,0)</f>
        <v>382.05520000000001</v>
      </c>
      <c r="N289" s="24">
        <v>308</v>
      </c>
      <c r="O289" t="s">
        <v>3264</v>
      </c>
    </row>
    <row r="290" spans="1:15" ht="15" thickBot="1">
      <c r="A290" s="6">
        <v>289</v>
      </c>
      <c r="B290" s="1" t="s">
        <v>1020</v>
      </c>
      <c r="C290" s="1" t="s">
        <v>1021</v>
      </c>
      <c r="D290" s="2">
        <v>53200446</v>
      </c>
      <c r="E290" s="1" t="s">
        <v>12</v>
      </c>
      <c r="F290" s="25">
        <v>192395.44</v>
      </c>
      <c r="G290" s="4">
        <v>43975</v>
      </c>
      <c r="H290" s="4">
        <v>42743</v>
      </c>
      <c r="I290" s="1" t="s">
        <v>13</v>
      </c>
      <c r="J290" s="7" t="s">
        <v>1022</v>
      </c>
      <c r="K290" s="17">
        <v>1862</v>
      </c>
      <c r="L290" t="str">
        <f ca="1">+IF(TODAY()-ICETEX[[#This Row],[fecha_ultimo_movimiento]]&gt;360,"Inactivo","Activo")</f>
        <v>Inactivo</v>
      </c>
      <c r="M290" s="24">
        <f>+VLOOKUP(ICETEX[[#This Row],[fecha_ultimo_movimiento]],UVR!A:B,2,0)</f>
        <v>276.2088</v>
      </c>
      <c r="N290" s="24">
        <v>697</v>
      </c>
      <c r="O290" t="s">
        <v>3264</v>
      </c>
    </row>
    <row r="291" spans="1:15" ht="15" thickBot="1">
      <c r="A291" s="6">
        <v>290</v>
      </c>
      <c r="B291" s="1" t="s">
        <v>1023</v>
      </c>
      <c r="C291" s="1" t="s">
        <v>1024</v>
      </c>
      <c r="D291" s="2">
        <v>71918150</v>
      </c>
      <c r="E291" s="1" t="s">
        <v>12</v>
      </c>
      <c r="F291" s="25">
        <v>203568.6</v>
      </c>
      <c r="G291" s="4">
        <v>44856</v>
      </c>
      <c r="H291" s="4">
        <v>42844</v>
      </c>
      <c r="I291" s="1" t="s">
        <v>127</v>
      </c>
      <c r="J291" s="7" t="s">
        <v>1025</v>
      </c>
      <c r="K291" s="17">
        <v>981</v>
      </c>
      <c r="L291" t="str">
        <f ca="1">+IF(TODAY()-ICETEX[[#This Row],[fecha_ultimo_movimiento]]&gt;360,"Inactivo","Activo")</f>
        <v>Inactivo</v>
      </c>
      <c r="M291" s="24">
        <f>+VLOOKUP(ICETEX[[#This Row],[fecha_ultimo_movimiento]],UVR!A:B,2,0)</f>
        <v>318.51089999999999</v>
      </c>
      <c r="N291" s="24">
        <v>639</v>
      </c>
      <c r="O291" t="s">
        <v>3264</v>
      </c>
    </row>
    <row r="292" spans="1:15" ht="15" thickBot="1">
      <c r="A292" s="6">
        <v>291</v>
      </c>
      <c r="B292" s="1" t="s">
        <v>1026</v>
      </c>
      <c r="C292" s="1" t="s">
        <v>1027</v>
      </c>
      <c r="D292" s="2">
        <v>41202511</v>
      </c>
      <c r="E292" s="1" t="s">
        <v>45</v>
      </c>
      <c r="F292" s="25">
        <v>114830.09</v>
      </c>
      <c r="G292" s="4">
        <v>45419</v>
      </c>
      <c r="H292" s="4">
        <v>43149</v>
      </c>
      <c r="I292" s="1" t="s">
        <v>88</v>
      </c>
      <c r="J292" s="7" t="s">
        <v>1028</v>
      </c>
      <c r="K292" s="17">
        <v>418</v>
      </c>
      <c r="L292" t="str">
        <f ca="1">+IF(TODAY()-ICETEX[[#This Row],[fecha_ultimo_movimiento]]&gt;360,"Inactivo","Activo")</f>
        <v>Inactivo</v>
      </c>
      <c r="M292" s="24">
        <f>+VLOOKUP(ICETEX[[#This Row],[fecha_ultimo_movimiento]],UVR!A:B,2,0)</f>
        <v>369.42099999999999</v>
      </c>
      <c r="N292" s="24">
        <v>311</v>
      </c>
      <c r="O292" t="s">
        <v>3265</v>
      </c>
    </row>
    <row r="293" spans="1:15" ht="15" thickBot="1">
      <c r="A293" s="6">
        <v>292</v>
      </c>
      <c r="B293" s="1" t="s">
        <v>1029</v>
      </c>
      <c r="C293" s="1" t="s">
        <v>1030</v>
      </c>
      <c r="D293" s="2">
        <v>91204255</v>
      </c>
      <c r="E293" s="1" t="s">
        <v>45</v>
      </c>
      <c r="F293" s="25">
        <v>177745.92000000001</v>
      </c>
      <c r="G293" s="4">
        <v>44740</v>
      </c>
      <c r="H293" s="4">
        <v>43200</v>
      </c>
      <c r="I293" s="1" t="s">
        <v>1031</v>
      </c>
      <c r="J293" s="7" t="s">
        <v>1032</v>
      </c>
      <c r="K293" s="17">
        <v>1097</v>
      </c>
      <c r="L293" t="str">
        <f ca="1">+IF(TODAY()-ICETEX[[#This Row],[fecha_ultimo_movimiento]]&gt;360,"Inactivo","Activo")</f>
        <v>Inactivo</v>
      </c>
      <c r="M293" s="24">
        <f>+VLOOKUP(ICETEX[[#This Row],[fecha_ultimo_movimiento]],UVR!A:B,2,0)</f>
        <v>309.05619999999999</v>
      </c>
      <c r="N293" s="24">
        <v>575</v>
      </c>
      <c r="O293" t="s">
        <v>3264</v>
      </c>
    </row>
    <row r="294" spans="1:15" ht="15" thickBot="1">
      <c r="A294" s="6">
        <v>293</v>
      </c>
      <c r="B294" s="1" t="s">
        <v>1033</v>
      </c>
      <c r="C294" s="1" t="s">
        <v>1034</v>
      </c>
      <c r="D294" s="2">
        <v>21004823</v>
      </c>
      <c r="E294" s="1" t="s">
        <v>12</v>
      </c>
      <c r="F294" s="25">
        <v>195451.95</v>
      </c>
      <c r="G294" s="4">
        <v>44554</v>
      </c>
      <c r="H294" s="4">
        <v>43034</v>
      </c>
      <c r="I294" s="1" t="s">
        <v>1035</v>
      </c>
      <c r="J294" s="7" t="s">
        <v>1036</v>
      </c>
      <c r="K294" s="17">
        <v>1283</v>
      </c>
      <c r="L294" t="str">
        <f ca="1">+IF(TODAY()-ICETEX[[#This Row],[fecha_ultimo_movimiento]]&gt;360,"Inactivo","Activo")</f>
        <v>Inactivo</v>
      </c>
      <c r="M294" s="24">
        <f>+VLOOKUP(ICETEX[[#This Row],[fecha_ultimo_movimiento]],UVR!A:B,2,0)</f>
        <v>288.29419999999999</v>
      </c>
      <c r="N294" s="24">
        <v>678</v>
      </c>
      <c r="O294" t="s">
        <v>3264</v>
      </c>
    </row>
    <row r="295" spans="1:15" ht="15" thickBot="1">
      <c r="A295" s="6">
        <v>294</v>
      </c>
      <c r="B295" s="1" t="s">
        <v>1037</v>
      </c>
      <c r="C295" s="1" t="s">
        <v>1038</v>
      </c>
      <c r="D295" s="2">
        <v>304971987</v>
      </c>
      <c r="E295" s="1" t="s">
        <v>12</v>
      </c>
      <c r="F295" s="25">
        <v>172302.24</v>
      </c>
      <c r="G295" s="4">
        <v>45696</v>
      </c>
      <c r="H295" s="4">
        <v>42541</v>
      </c>
      <c r="I295" s="1" t="s">
        <v>21</v>
      </c>
      <c r="J295" s="7" t="s">
        <v>1039</v>
      </c>
      <c r="K295" s="17">
        <v>141</v>
      </c>
      <c r="L295" t="str">
        <f ca="1">+IF(TODAY()-ICETEX[[#This Row],[fecha_ultimo_movimiento]]&gt;360,"Inactivo","Activo")</f>
        <v>Activo</v>
      </c>
      <c r="M295" s="24">
        <f>+VLOOKUP(ICETEX[[#This Row],[fecha_ultimo_movimiento]],UVR!A:B,2,0)</f>
        <v>378.61110000000002</v>
      </c>
      <c r="N295" s="24">
        <v>455</v>
      </c>
      <c r="O295" t="s">
        <v>3264</v>
      </c>
    </row>
    <row r="296" spans="1:15" ht="15" thickBot="1">
      <c r="A296" s="6">
        <v>295</v>
      </c>
      <c r="B296" s="1" t="s">
        <v>1040</v>
      </c>
      <c r="C296" s="1" t="s">
        <v>1041</v>
      </c>
      <c r="D296" s="2">
        <v>21906934</v>
      </c>
      <c r="E296" s="1" t="s">
        <v>12</v>
      </c>
      <c r="F296" s="25">
        <v>131111.04999999999</v>
      </c>
      <c r="G296" s="4">
        <v>45293</v>
      </c>
      <c r="H296" s="4">
        <v>42995</v>
      </c>
      <c r="I296" s="1" t="s">
        <v>96</v>
      </c>
      <c r="J296" s="7" t="s">
        <v>1042</v>
      </c>
      <c r="K296" s="17">
        <v>544</v>
      </c>
      <c r="L296" t="str">
        <f ca="1">+IF(TODAY()-ICETEX[[#This Row],[fecha_ultimo_movimiento]]&gt;360,"Inactivo","Activo")</f>
        <v>Inactivo</v>
      </c>
      <c r="M296" s="24">
        <f>+VLOOKUP(ICETEX[[#This Row],[fecha_ultimo_movimiento]],UVR!A:B,2,0)</f>
        <v>357.94040000000001</v>
      </c>
      <c r="N296" s="24">
        <v>366</v>
      </c>
      <c r="O296" t="s">
        <v>3264</v>
      </c>
    </row>
    <row r="297" spans="1:15" ht="15" thickBot="1">
      <c r="A297" s="6">
        <v>296</v>
      </c>
      <c r="B297" s="1" t="s">
        <v>1043</v>
      </c>
      <c r="C297" s="1" t="s">
        <v>1044</v>
      </c>
      <c r="D297" s="2">
        <v>71112817</v>
      </c>
      <c r="E297" s="1" t="s">
        <v>12</v>
      </c>
      <c r="F297" s="25">
        <v>82730.22</v>
      </c>
      <c r="G297" s="4">
        <v>44243</v>
      </c>
      <c r="H297" s="4">
        <v>43251</v>
      </c>
      <c r="I297" s="1" t="s">
        <v>1045</v>
      </c>
      <c r="J297" s="8" t="s">
        <v>1046</v>
      </c>
      <c r="K297" s="17">
        <v>1594</v>
      </c>
      <c r="L297" t="str">
        <f ca="1">+IF(TODAY()-ICETEX[[#This Row],[fecha_ultimo_movimiento]]&gt;360,"Inactivo","Activo")</f>
        <v>Inactivo</v>
      </c>
      <c r="M297" s="24">
        <f>+VLOOKUP(ICETEX[[#This Row],[fecha_ultimo_movimiento]],UVR!A:B,2,0)</f>
        <v>275.9477</v>
      </c>
      <c r="N297" s="24">
        <v>300</v>
      </c>
      <c r="O297" t="s">
        <v>3265</v>
      </c>
    </row>
    <row r="298" spans="1:15" ht="15" thickBot="1">
      <c r="A298" s="6">
        <v>297</v>
      </c>
      <c r="B298" s="1" t="s">
        <v>1047</v>
      </c>
      <c r="C298" s="1" t="s">
        <v>1048</v>
      </c>
      <c r="D298" s="2">
        <v>111300945</v>
      </c>
      <c r="E298" s="1" t="s">
        <v>12</v>
      </c>
      <c r="F298" s="25">
        <v>211994.02</v>
      </c>
      <c r="G298" s="4">
        <v>44456</v>
      </c>
      <c r="H298" s="4">
        <v>42614</v>
      </c>
      <c r="I298" s="1" t="s">
        <v>762</v>
      </c>
      <c r="J298" s="7" t="s">
        <v>1049</v>
      </c>
      <c r="K298" s="17">
        <v>1381</v>
      </c>
      <c r="L298" t="str">
        <f ca="1">+IF(TODAY()-ICETEX[[#This Row],[fecha_ultimo_movimiento]]&gt;360,"Inactivo","Activo")</f>
        <v>Inactivo</v>
      </c>
      <c r="M298" s="24">
        <f>+VLOOKUP(ICETEX[[#This Row],[fecha_ultimo_movimiento]],UVR!A:B,2,0)</f>
        <v>285.55950000000001</v>
      </c>
      <c r="N298" s="24">
        <v>742</v>
      </c>
      <c r="O298" t="s">
        <v>3264</v>
      </c>
    </row>
    <row r="299" spans="1:15" ht="15" thickBot="1">
      <c r="A299" s="6">
        <v>298</v>
      </c>
      <c r="B299" s="1" t="s">
        <v>1050</v>
      </c>
      <c r="C299" s="1" t="s">
        <v>1051</v>
      </c>
      <c r="D299" s="2">
        <v>107005953</v>
      </c>
      <c r="E299" s="1" t="s">
        <v>45</v>
      </c>
      <c r="F299" s="25">
        <v>47880.6</v>
      </c>
      <c r="G299" s="4">
        <v>45532</v>
      </c>
      <c r="H299" s="4">
        <v>42996</v>
      </c>
      <c r="I299" s="1" t="s">
        <v>1052</v>
      </c>
      <c r="J299" s="7" t="s">
        <v>1053</v>
      </c>
      <c r="K299" s="17">
        <v>305</v>
      </c>
      <c r="L299" t="str">
        <f ca="1">+IF(TODAY()-ICETEX[[#This Row],[fecha_ultimo_movimiento]]&gt;360,"Inactivo","Activo")</f>
        <v>Activo</v>
      </c>
      <c r="M299" s="24">
        <f>+VLOOKUP(ICETEX[[#This Row],[fecha_ultimo_movimiento]],UVR!A:B,2,0)</f>
        <v>375.40429999999998</v>
      </c>
      <c r="N299" s="24">
        <v>128</v>
      </c>
      <c r="O299" t="s">
        <v>3264</v>
      </c>
    </row>
    <row r="300" spans="1:15" ht="15" thickBot="1">
      <c r="A300" s="6">
        <v>299</v>
      </c>
      <c r="B300" s="1" t="s">
        <v>1054</v>
      </c>
      <c r="C300" s="1" t="s">
        <v>1055</v>
      </c>
      <c r="D300" s="2">
        <v>67016354</v>
      </c>
      <c r="E300" s="1" t="s">
        <v>45</v>
      </c>
      <c r="F300" s="25">
        <v>205093.49</v>
      </c>
      <c r="G300" s="4">
        <v>44697</v>
      </c>
      <c r="H300" s="4">
        <v>42429</v>
      </c>
      <c r="I300" s="1" t="s">
        <v>447</v>
      </c>
      <c r="J300" s="7" t="s">
        <v>1056</v>
      </c>
      <c r="K300" s="17">
        <v>1140</v>
      </c>
      <c r="L300" t="str">
        <f ca="1">+IF(TODAY()-ICETEX[[#This Row],[fecha_ultimo_movimiento]]&gt;360,"Inactivo","Activo")</f>
        <v>Inactivo</v>
      </c>
      <c r="M300" s="24">
        <f>+VLOOKUP(ICETEX[[#This Row],[fecha_ultimo_movimiento]],UVR!A:B,2,0)</f>
        <v>304.25819999999999</v>
      </c>
      <c r="N300" s="24">
        <v>674</v>
      </c>
      <c r="O300" t="s">
        <v>3264</v>
      </c>
    </row>
    <row r="301" spans="1:15" ht="15" thickBot="1">
      <c r="A301" s="6">
        <v>300</v>
      </c>
      <c r="B301" s="1" t="s">
        <v>1057</v>
      </c>
      <c r="C301" s="1" t="s">
        <v>1058</v>
      </c>
      <c r="D301" s="2">
        <v>72407987</v>
      </c>
      <c r="E301" s="1" t="s">
        <v>45</v>
      </c>
      <c r="F301" s="25">
        <v>165865.89000000001</v>
      </c>
      <c r="G301" s="4">
        <v>45171</v>
      </c>
      <c r="H301" s="4">
        <v>43418</v>
      </c>
      <c r="I301" s="1" t="s">
        <v>270</v>
      </c>
      <c r="J301" s="7" t="s">
        <v>1059</v>
      </c>
      <c r="K301" s="17">
        <v>666</v>
      </c>
      <c r="L301" t="str">
        <f ca="1">+IF(TODAY()-ICETEX[[#This Row],[fecha_ultimo_movimiento]]&gt;360,"Inactivo","Activo")</f>
        <v>Inactivo</v>
      </c>
      <c r="M301" s="24">
        <f>+VLOOKUP(ICETEX[[#This Row],[fecha_ultimo_movimiento]],UVR!A:B,2,0)</f>
        <v>350.96769999999998</v>
      </c>
      <c r="N301" s="24">
        <v>473</v>
      </c>
      <c r="O301" t="s">
        <v>3264</v>
      </c>
    </row>
    <row r="302" spans="1:15" ht="15" thickBot="1">
      <c r="A302" s="6">
        <v>301</v>
      </c>
      <c r="B302" s="1" t="s">
        <v>1060</v>
      </c>
      <c r="C302" s="1" t="s">
        <v>1061</v>
      </c>
      <c r="D302" s="2">
        <v>91208154</v>
      </c>
      <c r="E302" s="1" t="s">
        <v>12</v>
      </c>
      <c r="F302" s="25">
        <v>38786</v>
      </c>
      <c r="G302" s="4">
        <v>44319</v>
      </c>
      <c r="H302" s="4">
        <v>42738</v>
      </c>
      <c r="I302" s="1" t="s">
        <v>1062</v>
      </c>
      <c r="J302" s="7" t="s">
        <v>1063</v>
      </c>
      <c r="K302" s="17">
        <v>1518</v>
      </c>
      <c r="L302" t="str">
        <f ca="1">+IF(TODAY()-ICETEX[[#This Row],[fecha_ultimo_movimiento]]&gt;360,"Inactivo","Activo")</f>
        <v>Inactivo</v>
      </c>
      <c r="M302" s="24">
        <f>+VLOOKUP(ICETEX[[#This Row],[fecha_ultimo_movimiento]],UVR!A:B,2,0)</f>
        <v>279.66390000000001</v>
      </c>
      <c r="N302" s="24">
        <v>139</v>
      </c>
      <c r="O302" t="s">
        <v>3265</v>
      </c>
    </row>
    <row r="303" spans="1:15" ht="15" thickBot="1">
      <c r="A303" s="6">
        <v>302</v>
      </c>
      <c r="B303" s="1" t="s">
        <v>1064</v>
      </c>
      <c r="C303" s="1" t="s">
        <v>1065</v>
      </c>
      <c r="D303" s="2">
        <v>57000697</v>
      </c>
      <c r="E303" s="1" t="s">
        <v>45</v>
      </c>
      <c r="F303" s="25">
        <v>131190.67000000001</v>
      </c>
      <c r="G303" s="4">
        <v>43944</v>
      </c>
      <c r="H303" s="4">
        <v>42839</v>
      </c>
      <c r="I303" s="1" t="s">
        <v>1014</v>
      </c>
      <c r="J303" s="7" t="s">
        <v>1066</v>
      </c>
      <c r="K303" s="17">
        <v>1893</v>
      </c>
      <c r="L303" t="str">
        <f ca="1">+IF(TODAY()-ICETEX[[#This Row],[fecha_ultimo_movimiento]]&gt;360,"Inactivo","Activo")</f>
        <v>Inactivo</v>
      </c>
      <c r="M303" s="24">
        <f>+VLOOKUP(ICETEX[[#This Row],[fecha_ultimo_movimiento]],UVR!A:B,2,0)</f>
        <v>274.9323</v>
      </c>
      <c r="N303" s="24">
        <v>477</v>
      </c>
      <c r="O303" t="s">
        <v>3264</v>
      </c>
    </row>
    <row r="304" spans="1:15" ht="15" thickBot="1">
      <c r="A304" s="6">
        <v>303</v>
      </c>
      <c r="B304" s="1" t="s">
        <v>1067</v>
      </c>
      <c r="C304" s="1" t="s">
        <v>1068</v>
      </c>
      <c r="D304" s="2">
        <v>111104743</v>
      </c>
      <c r="E304" s="1" t="s">
        <v>45</v>
      </c>
      <c r="F304" s="25">
        <v>61414.51</v>
      </c>
      <c r="G304" s="4">
        <v>44158</v>
      </c>
      <c r="H304" s="4">
        <v>43244</v>
      </c>
      <c r="I304" s="1" t="s">
        <v>135</v>
      </c>
      <c r="J304" s="7" t="s">
        <v>1069</v>
      </c>
      <c r="K304" s="17">
        <v>1679</v>
      </c>
      <c r="L304" t="str">
        <f ca="1">+IF(TODAY()-ICETEX[[#This Row],[fecha_ultimo_movimiento]]&gt;360,"Inactivo","Activo")</f>
        <v>Inactivo</v>
      </c>
      <c r="M304" s="24">
        <f>+VLOOKUP(ICETEX[[#This Row],[fecha_ultimo_movimiento]],UVR!A:B,2,0)</f>
        <v>275.39699999999999</v>
      </c>
      <c r="N304" s="24">
        <v>223</v>
      </c>
      <c r="O304" t="s">
        <v>3265</v>
      </c>
    </row>
    <row r="305" spans="1:15" ht="15" thickBot="1">
      <c r="A305" s="6">
        <v>304</v>
      </c>
      <c r="B305" s="1" t="s">
        <v>1070</v>
      </c>
      <c r="C305" s="1" t="s">
        <v>1071</v>
      </c>
      <c r="D305" s="2">
        <v>121142779</v>
      </c>
      <c r="E305" s="1" t="s">
        <v>45</v>
      </c>
      <c r="F305" s="25">
        <v>187978.99</v>
      </c>
      <c r="G305" s="4">
        <v>45530</v>
      </c>
      <c r="H305" s="4">
        <v>42757</v>
      </c>
      <c r="I305" s="1" t="s">
        <v>263</v>
      </c>
      <c r="J305" s="7" t="s">
        <v>1072</v>
      </c>
      <c r="K305" s="17">
        <v>307</v>
      </c>
      <c r="L305" t="str">
        <f ca="1">+IF(TODAY()-ICETEX[[#This Row],[fecha_ultimo_movimiento]]&gt;360,"Inactivo","Activo")</f>
        <v>Activo</v>
      </c>
      <c r="M305" s="24">
        <f>+VLOOKUP(ICETEX[[#This Row],[fecha_ultimo_movimiento]],UVR!A:B,2,0)</f>
        <v>375.35590000000002</v>
      </c>
      <c r="N305" s="24">
        <v>501</v>
      </c>
      <c r="O305" t="s">
        <v>3264</v>
      </c>
    </row>
    <row r="306" spans="1:15" ht="15" thickBot="1">
      <c r="A306" s="6">
        <v>305</v>
      </c>
      <c r="B306" s="1" t="s">
        <v>1073</v>
      </c>
      <c r="C306" s="1" t="s">
        <v>1074</v>
      </c>
      <c r="D306" s="2">
        <v>62102849</v>
      </c>
      <c r="E306" s="1" t="s">
        <v>45</v>
      </c>
      <c r="F306" s="25">
        <v>184816.04</v>
      </c>
      <c r="G306" s="4">
        <v>45557</v>
      </c>
      <c r="H306" s="4">
        <v>42641</v>
      </c>
      <c r="I306" s="1" t="s">
        <v>1075</v>
      </c>
      <c r="J306" s="8" t="s">
        <v>1076</v>
      </c>
      <c r="K306" s="17">
        <v>280</v>
      </c>
      <c r="L306" t="str">
        <f ca="1">+IF(TODAY()-ICETEX[[#This Row],[fecha_ultimo_movimiento]]&gt;360,"Inactivo","Activo")</f>
        <v>Activo</v>
      </c>
      <c r="M306" s="24">
        <f>+VLOOKUP(ICETEX[[#This Row],[fecha_ultimo_movimiento]],UVR!A:B,2,0)</f>
        <v>375.84010000000001</v>
      </c>
      <c r="N306" s="24">
        <v>492</v>
      </c>
      <c r="O306" t="s">
        <v>3264</v>
      </c>
    </row>
    <row r="307" spans="1:15" ht="15" thickBot="1">
      <c r="A307" s="6">
        <v>306</v>
      </c>
      <c r="B307" s="1" t="s">
        <v>1077</v>
      </c>
      <c r="C307" s="1" t="s">
        <v>1078</v>
      </c>
      <c r="D307" s="2">
        <v>65302358</v>
      </c>
      <c r="E307" s="1" t="s">
        <v>12</v>
      </c>
      <c r="F307" s="25">
        <v>71518.990000000005</v>
      </c>
      <c r="G307" s="4">
        <v>45625</v>
      </c>
      <c r="H307" s="4">
        <v>42745</v>
      </c>
      <c r="I307" s="1" t="s">
        <v>1079</v>
      </c>
      <c r="J307" s="7" t="s">
        <v>1080</v>
      </c>
      <c r="K307" s="17">
        <v>212</v>
      </c>
      <c r="L307" t="str">
        <f ca="1">+IF(TODAY()-ICETEX[[#This Row],[fecha_ultimo_movimiento]]&gt;360,"Inactivo","Activo")</f>
        <v>Activo</v>
      </c>
      <c r="M307" s="24">
        <f>+VLOOKUP(ICETEX[[#This Row],[fecha_ultimo_movimiento]],UVR!A:B,2,0)</f>
        <v>376.51350000000002</v>
      </c>
      <c r="N307" s="24">
        <v>190</v>
      </c>
      <c r="O307" t="s">
        <v>3264</v>
      </c>
    </row>
    <row r="308" spans="1:15" ht="15" thickBot="1">
      <c r="A308" s="6">
        <v>307</v>
      </c>
      <c r="B308" s="1" t="s">
        <v>1081</v>
      </c>
      <c r="C308" s="1" t="s">
        <v>1082</v>
      </c>
      <c r="D308" s="2">
        <v>221380114</v>
      </c>
      <c r="E308" s="1" t="s">
        <v>12</v>
      </c>
      <c r="F308" s="25">
        <v>99364.22</v>
      </c>
      <c r="G308" s="4">
        <v>45824</v>
      </c>
      <c r="H308" s="4">
        <v>42586</v>
      </c>
      <c r="I308" s="1" t="s">
        <v>341</v>
      </c>
      <c r="J308" s="7" t="s">
        <v>1083</v>
      </c>
      <c r="K308" s="17">
        <v>13</v>
      </c>
      <c r="L308" t="str">
        <f ca="1">+IF(TODAY()-ICETEX[[#This Row],[fecha_ultimo_movimiento]]&gt;360,"Inactivo","Activo")</f>
        <v>Activo</v>
      </c>
      <c r="M308" s="24">
        <f>+VLOOKUP(ICETEX[[#This Row],[fecha_ultimo_movimiento]],UVR!A:B,2,0)</f>
        <v>391.54820000000001</v>
      </c>
      <c r="N308" s="24">
        <v>254</v>
      </c>
      <c r="O308" t="s">
        <v>3264</v>
      </c>
    </row>
    <row r="309" spans="1:15" ht="15" thickBot="1">
      <c r="A309" s="6">
        <v>308</v>
      </c>
      <c r="B309" s="1" t="s">
        <v>1084</v>
      </c>
      <c r="C309" s="1" t="s">
        <v>1085</v>
      </c>
      <c r="D309" s="2">
        <v>226071237</v>
      </c>
      <c r="E309" s="1" t="s">
        <v>12</v>
      </c>
      <c r="F309" s="25">
        <v>22688.78</v>
      </c>
      <c r="G309" s="4">
        <v>45161</v>
      </c>
      <c r="H309" s="4">
        <v>42621</v>
      </c>
      <c r="I309" s="1" t="s">
        <v>238</v>
      </c>
      <c r="J309" s="7" t="s">
        <v>1086</v>
      </c>
      <c r="K309" s="17">
        <v>676</v>
      </c>
      <c r="L309" t="str">
        <f ca="1">+IF(TODAY()-ICETEX[[#This Row],[fecha_ultimo_movimiento]]&gt;360,"Inactivo","Activo")</f>
        <v>Inactivo</v>
      </c>
      <c r="M309" s="24">
        <f>+VLOOKUP(ICETEX[[#This Row],[fecha_ultimo_movimiento]],UVR!A:B,2,0)</f>
        <v>350.40350000000001</v>
      </c>
      <c r="N309" s="24">
        <v>65</v>
      </c>
      <c r="O309" t="s">
        <v>3265</v>
      </c>
    </row>
    <row r="310" spans="1:15" ht="15" thickBot="1">
      <c r="A310" s="6">
        <v>309</v>
      </c>
      <c r="B310" s="1" t="s">
        <v>1087</v>
      </c>
      <c r="C310" s="1" t="s">
        <v>1088</v>
      </c>
      <c r="D310" s="2">
        <v>51401836</v>
      </c>
      <c r="E310" s="1" t="s">
        <v>12</v>
      </c>
      <c r="F310" s="25">
        <v>55817.8</v>
      </c>
      <c r="G310" s="4">
        <v>44766</v>
      </c>
      <c r="H310" s="4">
        <v>43008</v>
      </c>
      <c r="I310" s="1" t="s">
        <v>108</v>
      </c>
      <c r="J310" s="7" t="s">
        <v>1089</v>
      </c>
      <c r="K310" s="17">
        <v>1071</v>
      </c>
      <c r="L310" t="str">
        <f ca="1">+IF(TODAY()-ICETEX[[#This Row],[fecha_ultimo_movimiento]]&gt;360,"Inactivo","Activo")</f>
        <v>Inactivo</v>
      </c>
      <c r="M310" s="24">
        <f>+VLOOKUP(ICETEX[[#This Row],[fecha_ultimo_movimiento]],UVR!A:B,2,0)</f>
        <v>310.98360000000002</v>
      </c>
      <c r="N310" s="24">
        <v>179</v>
      </c>
      <c r="O310" t="s">
        <v>3265</v>
      </c>
    </row>
    <row r="311" spans="1:15" ht="15" thickBot="1">
      <c r="A311" s="6">
        <v>310</v>
      </c>
      <c r="B311" s="1" t="s">
        <v>1090</v>
      </c>
      <c r="C311" s="1" t="s">
        <v>1091</v>
      </c>
      <c r="D311" s="2">
        <v>62200961</v>
      </c>
      <c r="E311" s="1" t="s">
        <v>45</v>
      </c>
      <c r="F311" s="25">
        <v>53954.76</v>
      </c>
      <c r="G311" s="4">
        <v>43847</v>
      </c>
      <c r="H311" s="4">
        <v>42600</v>
      </c>
      <c r="I311" s="1" t="s">
        <v>1092</v>
      </c>
      <c r="J311" s="7" t="s">
        <v>1093</v>
      </c>
      <c r="K311" s="17">
        <v>1990</v>
      </c>
      <c r="L311" t="str">
        <f ca="1">+IF(TODAY()-ICETEX[[#This Row],[fecha_ultimo_movimiento]]&gt;360,"Inactivo","Activo")</f>
        <v>Inactivo</v>
      </c>
      <c r="M311" s="24">
        <f>+VLOOKUP(ICETEX[[#This Row],[fecha_ultimo_movimiento]],UVR!A:B,2,0)</f>
        <v>270.88959999999997</v>
      </c>
      <c r="N311" s="24">
        <v>199</v>
      </c>
      <c r="O311" t="s">
        <v>3265</v>
      </c>
    </row>
    <row r="312" spans="1:15" ht="15" thickBot="1">
      <c r="A312" s="6">
        <v>311</v>
      </c>
      <c r="B312" s="1" t="s">
        <v>1094</v>
      </c>
      <c r="C312" s="1" t="s">
        <v>1095</v>
      </c>
      <c r="D312" s="2">
        <v>63107610</v>
      </c>
      <c r="E312" s="1" t="s">
        <v>45</v>
      </c>
      <c r="F312" s="25">
        <v>150541.13</v>
      </c>
      <c r="G312" s="4">
        <v>44099</v>
      </c>
      <c r="H312" s="4">
        <v>42819</v>
      </c>
      <c r="I312" s="1" t="s">
        <v>13</v>
      </c>
      <c r="J312" s="7" t="s">
        <v>1096</v>
      </c>
      <c r="K312" s="17">
        <v>1738</v>
      </c>
      <c r="L312" t="str">
        <f ca="1">+IF(TODAY()-ICETEX[[#This Row],[fecha_ultimo_movimiento]]&gt;360,"Inactivo","Activo")</f>
        <v>Inactivo</v>
      </c>
      <c r="M312" s="24">
        <f>+VLOOKUP(ICETEX[[#This Row],[fecha_ultimo_movimiento]],UVR!A:B,2,0)</f>
        <v>274.58080000000001</v>
      </c>
      <c r="N312" s="24">
        <v>548</v>
      </c>
      <c r="O312" t="s">
        <v>3264</v>
      </c>
    </row>
    <row r="313" spans="1:15" ht="26.5" thickBot="1">
      <c r="A313" s="6">
        <v>312</v>
      </c>
      <c r="B313" s="1" t="s">
        <v>885</v>
      </c>
      <c r="C313" s="1" t="s">
        <v>1097</v>
      </c>
      <c r="D313" s="2">
        <v>67016040</v>
      </c>
      <c r="E313" s="1" t="s">
        <v>45</v>
      </c>
      <c r="F313" s="25">
        <v>97127.21</v>
      </c>
      <c r="G313" s="4">
        <v>44613</v>
      </c>
      <c r="H313" s="4">
        <v>42464</v>
      </c>
      <c r="I313" s="1" t="s">
        <v>712</v>
      </c>
      <c r="J313" s="7" t="s">
        <v>1098</v>
      </c>
      <c r="K313" s="17">
        <v>1224</v>
      </c>
      <c r="L313" t="str">
        <f ca="1">+IF(TODAY()-ICETEX[[#This Row],[fecha_ultimo_movimiento]]&gt;360,"Inactivo","Activo")</f>
        <v>Inactivo</v>
      </c>
      <c r="M313" s="24">
        <f>+VLOOKUP(ICETEX[[#This Row],[fecha_ultimo_movimiento]],UVR!A:B,2,0)</f>
        <v>292.46460000000002</v>
      </c>
      <c r="N313" s="24">
        <v>332</v>
      </c>
      <c r="O313" t="s">
        <v>3264</v>
      </c>
    </row>
    <row r="314" spans="1:15" ht="15" thickBot="1">
      <c r="A314" s="6">
        <v>313</v>
      </c>
      <c r="B314" s="1" t="s">
        <v>1099</v>
      </c>
      <c r="C314" s="1" t="s">
        <v>1100</v>
      </c>
      <c r="D314" s="2">
        <v>274970063</v>
      </c>
      <c r="E314" s="1" t="s">
        <v>12</v>
      </c>
      <c r="F314" s="25">
        <v>70818.09</v>
      </c>
      <c r="G314" s="4">
        <v>44172</v>
      </c>
      <c r="H314" s="4">
        <v>42628</v>
      </c>
      <c r="I314" s="1" t="s">
        <v>131</v>
      </c>
      <c r="J314" s="8" t="s">
        <v>1101</v>
      </c>
      <c r="K314" s="17">
        <v>1665</v>
      </c>
      <c r="L314" t="str">
        <f ca="1">+IF(TODAY()-ICETEX[[#This Row],[fecha_ultimo_movimiento]]&gt;360,"Inactivo","Activo")</f>
        <v>Inactivo</v>
      </c>
      <c r="M314" s="24">
        <f>+VLOOKUP(ICETEX[[#This Row],[fecha_ultimo_movimiento]],UVR!A:B,2,0)</f>
        <v>275.31990000000002</v>
      </c>
      <c r="N314" s="24">
        <v>257</v>
      </c>
      <c r="O314" t="s">
        <v>3265</v>
      </c>
    </row>
    <row r="315" spans="1:15" ht="15" thickBot="1">
      <c r="A315" s="6">
        <v>314</v>
      </c>
      <c r="B315" s="1" t="s">
        <v>1102</v>
      </c>
      <c r="C315" s="1" t="s">
        <v>1103</v>
      </c>
      <c r="D315" s="2">
        <v>91204899</v>
      </c>
      <c r="E315" s="1" t="s">
        <v>45</v>
      </c>
      <c r="F315" s="25">
        <v>99702</v>
      </c>
      <c r="G315" s="4">
        <v>45661</v>
      </c>
      <c r="H315" s="4">
        <v>43277</v>
      </c>
      <c r="I315" s="1" t="s">
        <v>1104</v>
      </c>
      <c r="J315" s="8" t="s">
        <v>1105</v>
      </c>
      <c r="K315" s="17">
        <v>176</v>
      </c>
      <c r="L315" t="str">
        <f ca="1">+IF(TODAY()-ICETEX[[#This Row],[fecha_ultimo_movimiento]]&gt;360,"Inactivo","Activo")</f>
        <v>Activo</v>
      </c>
      <c r="M315" s="24">
        <f>+VLOOKUP(ICETEX[[#This Row],[fecha_ultimo_movimiento]],UVR!A:B,2,0)</f>
        <v>376.9074</v>
      </c>
      <c r="N315" s="24">
        <v>265</v>
      </c>
      <c r="O315" t="s">
        <v>3264</v>
      </c>
    </row>
    <row r="316" spans="1:15" ht="15" thickBot="1">
      <c r="A316" s="6">
        <v>315</v>
      </c>
      <c r="B316" s="1" t="s">
        <v>1106</v>
      </c>
      <c r="C316" s="1" t="s">
        <v>1107</v>
      </c>
      <c r="D316" s="2">
        <v>11300142</v>
      </c>
      <c r="E316" s="1" t="s">
        <v>12</v>
      </c>
      <c r="F316" s="25">
        <v>15074.97</v>
      </c>
      <c r="G316" s="4">
        <v>44328</v>
      </c>
      <c r="H316" s="4">
        <v>42920</v>
      </c>
      <c r="I316" s="1" t="s">
        <v>1108</v>
      </c>
      <c r="J316" s="7" t="s">
        <v>1109</v>
      </c>
      <c r="K316" s="17">
        <v>1509</v>
      </c>
      <c r="L316" t="str">
        <f ca="1">+IF(TODAY()-ICETEX[[#This Row],[fecha_ultimo_movimiento]]&gt;360,"Inactivo","Activo")</f>
        <v>Inactivo</v>
      </c>
      <c r="M316" s="24">
        <f>+VLOOKUP(ICETEX[[#This Row],[fecha_ultimo_movimiento]],UVR!A:B,2,0)</f>
        <v>280.09100000000001</v>
      </c>
      <c r="N316" s="24">
        <v>54</v>
      </c>
      <c r="O316" t="s">
        <v>3265</v>
      </c>
    </row>
    <row r="317" spans="1:15" ht="15" thickBot="1">
      <c r="A317" s="6">
        <v>316</v>
      </c>
      <c r="B317" s="1" t="s">
        <v>1110</v>
      </c>
      <c r="C317" s="1" t="s">
        <v>1111</v>
      </c>
      <c r="D317" s="2">
        <v>55001054</v>
      </c>
      <c r="E317" s="1" t="s">
        <v>12</v>
      </c>
      <c r="F317" s="25">
        <v>151176.85999999999</v>
      </c>
      <c r="G317" s="4">
        <v>44139</v>
      </c>
      <c r="H317" s="4">
        <v>42501</v>
      </c>
      <c r="I317" s="1" t="s">
        <v>147</v>
      </c>
      <c r="J317" s="7" t="s">
        <v>1112</v>
      </c>
      <c r="K317" s="17">
        <v>1698</v>
      </c>
      <c r="L317" t="str">
        <f ca="1">+IF(TODAY()-ICETEX[[#This Row],[fecha_ultimo_movimiento]]&gt;360,"Inactivo","Activo")</f>
        <v>Inactivo</v>
      </c>
      <c r="M317" s="24">
        <f>+VLOOKUP(ICETEX[[#This Row],[fecha_ultimo_movimiento]],UVR!A:B,2,0)</f>
        <v>275.12900000000002</v>
      </c>
      <c r="N317" s="24">
        <v>549</v>
      </c>
      <c r="O317" t="s">
        <v>3264</v>
      </c>
    </row>
    <row r="318" spans="1:15" ht="15" thickBot="1">
      <c r="A318" s="6">
        <v>317</v>
      </c>
      <c r="B318" s="1" t="s">
        <v>1113</v>
      </c>
      <c r="C318" s="1" t="s">
        <v>1114</v>
      </c>
      <c r="D318" s="2">
        <v>111926086</v>
      </c>
      <c r="E318" s="1" t="s">
        <v>12</v>
      </c>
      <c r="F318" s="25">
        <v>27659.67</v>
      </c>
      <c r="G318" s="4">
        <v>44626</v>
      </c>
      <c r="H318" s="4">
        <v>43061</v>
      </c>
      <c r="I318" s="1" t="s">
        <v>1115</v>
      </c>
      <c r="J318" s="7" t="s">
        <v>1116</v>
      </c>
      <c r="K318" s="17">
        <v>1211</v>
      </c>
      <c r="L318" t="str">
        <f ca="1">+IF(TODAY()-ICETEX[[#This Row],[fecha_ultimo_movimiento]]&gt;360,"Inactivo","Activo")</f>
        <v>Inactivo</v>
      </c>
      <c r="M318" s="24">
        <f>+VLOOKUP(ICETEX[[#This Row],[fecha_ultimo_movimiento]],UVR!A:B,2,0)</f>
        <v>294.72219999999999</v>
      </c>
      <c r="N318" s="24">
        <v>94</v>
      </c>
      <c r="O318" t="s">
        <v>3265</v>
      </c>
    </row>
    <row r="319" spans="1:15" ht="26.5" thickBot="1">
      <c r="A319" s="6">
        <v>318</v>
      </c>
      <c r="B319" s="1" t="s">
        <v>1117</v>
      </c>
      <c r="C319" s="1" t="s">
        <v>1118</v>
      </c>
      <c r="D319" s="2">
        <v>11307116</v>
      </c>
      <c r="E319" s="1" t="s">
        <v>45</v>
      </c>
      <c r="F319" s="25">
        <v>209831.72</v>
      </c>
      <c r="G319" s="4">
        <v>45789</v>
      </c>
      <c r="H319" s="4">
        <v>42797</v>
      </c>
      <c r="I319" s="1" t="s">
        <v>1119</v>
      </c>
      <c r="J319" s="7" t="s">
        <v>1120</v>
      </c>
      <c r="K319" s="17">
        <v>48</v>
      </c>
      <c r="L319" t="str">
        <f ca="1">+IF(TODAY()-ICETEX[[#This Row],[fecha_ultimo_movimiento]]&gt;360,"Inactivo","Activo")</f>
        <v>Activo</v>
      </c>
      <c r="M319" s="24">
        <f>+VLOOKUP(ICETEX[[#This Row],[fecha_ultimo_movimiento]],UVR!A:B,2,0)</f>
        <v>388.73790000000002</v>
      </c>
      <c r="N319" s="24">
        <v>540</v>
      </c>
      <c r="O319" t="s">
        <v>3264</v>
      </c>
    </row>
    <row r="320" spans="1:15" ht="15" thickBot="1">
      <c r="A320" s="6">
        <v>319</v>
      </c>
      <c r="B320" s="1" t="s">
        <v>1121</v>
      </c>
      <c r="C320" s="1" t="s">
        <v>1122</v>
      </c>
      <c r="D320" s="2">
        <v>21202175</v>
      </c>
      <c r="E320" s="1" t="s">
        <v>45</v>
      </c>
      <c r="F320" s="25">
        <v>122853.92</v>
      </c>
      <c r="G320" s="4">
        <v>45698</v>
      </c>
      <c r="H320" s="4">
        <v>42504</v>
      </c>
      <c r="I320" s="1" t="s">
        <v>217</v>
      </c>
      <c r="J320" s="7" t="s">
        <v>1123</v>
      </c>
      <c r="K320" s="17">
        <v>139</v>
      </c>
      <c r="L320" t="str">
        <f ca="1">+IF(TODAY()-ICETEX[[#This Row],[fecha_ultimo_movimiento]]&gt;360,"Inactivo","Activo")</f>
        <v>Activo</v>
      </c>
      <c r="M320" s="24">
        <f>+VLOOKUP(ICETEX[[#This Row],[fecha_ultimo_movimiento]],UVR!A:B,2,0)</f>
        <v>378.72320000000002</v>
      </c>
      <c r="N320" s="24">
        <v>324</v>
      </c>
      <c r="O320" t="s">
        <v>3264</v>
      </c>
    </row>
    <row r="321" spans="1:15" ht="15" thickBot="1">
      <c r="A321" s="6">
        <v>320</v>
      </c>
      <c r="B321" s="1" t="s">
        <v>1124</v>
      </c>
      <c r="C321" s="1" t="s">
        <v>1125</v>
      </c>
      <c r="D321" s="2">
        <v>81211928</v>
      </c>
      <c r="E321" s="1" t="s">
        <v>12</v>
      </c>
      <c r="F321" s="25">
        <v>210588.03</v>
      </c>
      <c r="G321" s="4">
        <v>44083</v>
      </c>
      <c r="H321" s="4">
        <v>42705</v>
      </c>
      <c r="I321" s="1" t="s">
        <v>1126</v>
      </c>
      <c r="J321" s="7" t="s">
        <v>1127</v>
      </c>
      <c r="K321" s="17">
        <v>1754</v>
      </c>
      <c r="L321" t="str">
        <f ca="1">+IF(TODAY()-ICETEX[[#This Row],[fecha_ultimo_movimiento]]&gt;360,"Inactivo","Activo")</f>
        <v>Inactivo</v>
      </c>
      <c r="M321" s="24">
        <f>+VLOOKUP(ICETEX[[#This Row],[fecha_ultimo_movimiento]],UVR!A:B,2,0)</f>
        <v>274.58999999999997</v>
      </c>
      <c r="N321" s="24">
        <v>767</v>
      </c>
      <c r="O321" t="s">
        <v>3264</v>
      </c>
    </row>
    <row r="322" spans="1:15" ht="15" thickBot="1">
      <c r="A322" s="6">
        <v>321</v>
      </c>
      <c r="B322" s="1" t="s">
        <v>1128</v>
      </c>
      <c r="C322" s="1" t="s">
        <v>1129</v>
      </c>
      <c r="D322" s="2">
        <v>42107738</v>
      </c>
      <c r="E322" s="1" t="s">
        <v>45</v>
      </c>
      <c r="F322" s="25">
        <v>137821.21</v>
      </c>
      <c r="G322" s="4">
        <v>44621</v>
      </c>
      <c r="H322" s="4">
        <v>42703</v>
      </c>
      <c r="I322" s="1" t="s">
        <v>1130</v>
      </c>
      <c r="J322" s="7" t="s">
        <v>980</v>
      </c>
      <c r="K322" s="17">
        <v>1216</v>
      </c>
      <c r="L322" t="str">
        <f ca="1">+IF(TODAY()-ICETEX[[#This Row],[fecha_ultimo_movimiento]]&gt;360,"Inactivo","Activo")</f>
        <v>Inactivo</v>
      </c>
      <c r="M322" s="24">
        <f>+VLOOKUP(ICETEX[[#This Row],[fecha_ultimo_movimiento]],UVR!A:B,2,0)</f>
        <v>293.8519</v>
      </c>
      <c r="N322" s="24">
        <v>469</v>
      </c>
      <c r="O322" t="s">
        <v>3264</v>
      </c>
    </row>
    <row r="323" spans="1:15" ht="15" thickBot="1">
      <c r="A323" s="6">
        <v>322</v>
      </c>
      <c r="B323" s="1" t="s">
        <v>1131</v>
      </c>
      <c r="C323" s="1" t="s">
        <v>1132</v>
      </c>
      <c r="D323" s="2">
        <v>91000080</v>
      </c>
      <c r="E323" s="1" t="s">
        <v>45</v>
      </c>
      <c r="F323" s="25">
        <v>160907.1</v>
      </c>
      <c r="G323" s="4">
        <v>44848</v>
      </c>
      <c r="H323" s="4">
        <v>42765</v>
      </c>
      <c r="I323" s="1" t="s">
        <v>217</v>
      </c>
      <c r="J323" s="7" t="s">
        <v>1133</v>
      </c>
      <c r="K323" s="17">
        <v>989</v>
      </c>
      <c r="L323" t="str">
        <f ca="1">+IF(TODAY()-ICETEX[[#This Row],[fecha_ultimo_movimiento]]&gt;360,"Inactivo","Activo")</f>
        <v>Inactivo</v>
      </c>
      <c r="M323" s="24">
        <f>+VLOOKUP(ICETEX[[#This Row],[fecha_ultimo_movimiento]],UVR!A:B,2,0)</f>
        <v>317.73829999999998</v>
      </c>
      <c r="N323" s="24">
        <v>506</v>
      </c>
      <c r="O323" t="s">
        <v>3264</v>
      </c>
    </row>
    <row r="324" spans="1:15" ht="15" thickBot="1">
      <c r="A324" s="6">
        <v>323</v>
      </c>
      <c r="B324" s="1" t="s">
        <v>1134</v>
      </c>
      <c r="C324" s="1" t="s">
        <v>1135</v>
      </c>
      <c r="D324" s="2">
        <v>221270758</v>
      </c>
      <c r="E324" s="1" t="s">
        <v>12</v>
      </c>
      <c r="F324" s="25">
        <v>186507.86</v>
      </c>
      <c r="G324" s="4">
        <v>44967</v>
      </c>
      <c r="H324" s="4">
        <v>43149</v>
      </c>
      <c r="I324" s="1" t="s">
        <v>238</v>
      </c>
      <c r="J324" s="7" t="s">
        <v>1136</v>
      </c>
      <c r="K324" s="17">
        <v>870</v>
      </c>
      <c r="L324" t="str">
        <f ca="1">+IF(TODAY()-ICETEX[[#This Row],[fecha_ultimo_movimiento]]&gt;360,"Inactivo","Activo")</f>
        <v>Inactivo</v>
      </c>
      <c r="M324" s="24">
        <f>+VLOOKUP(ICETEX[[#This Row],[fecha_ultimo_movimiento]],UVR!A:B,2,0)</f>
        <v>329.03699999999998</v>
      </c>
      <c r="N324" s="24">
        <v>567</v>
      </c>
      <c r="O324" t="s">
        <v>3264</v>
      </c>
    </row>
    <row r="325" spans="1:15" ht="15" thickBot="1">
      <c r="A325" s="6">
        <v>324</v>
      </c>
      <c r="B325" s="1" t="s">
        <v>1137</v>
      </c>
      <c r="C325" s="1" t="s">
        <v>1138</v>
      </c>
      <c r="D325" s="2">
        <v>53274113</v>
      </c>
      <c r="E325" s="1" t="s">
        <v>12</v>
      </c>
      <c r="F325" s="25">
        <v>12916.72</v>
      </c>
      <c r="G325" s="4">
        <v>44043</v>
      </c>
      <c r="H325" s="4">
        <v>43214</v>
      </c>
      <c r="I325" s="1" t="s">
        <v>167</v>
      </c>
      <c r="J325" s="7" t="s">
        <v>1139</v>
      </c>
      <c r="K325" s="17">
        <v>1794</v>
      </c>
      <c r="L325" t="str">
        <f ca="1">+IF(TODAY()-ICETEX[[#This Row],[fecha_ultimo_movimiento]]&gt;360,"Inactivo","Activo")</f>
        <v>Inactivo</v>
      </c>
      <c r="M325" s="24">
        <f>+VLOOKUP(ICETEX[[#This Row],[fecha_ultimo_movimiento]],UVR!A:B,2,0)</f>
        <v>275.09629999999999</v>
      </c>
      <c r="N325" s="24">
        <v>47</v>
      </c>
      <c r="O325" t="s">
        <v>3265</v>
      </c>
    </row>
    <row r="326" spans="1:15" ht="15" thickBot="1">
      <c r="A326" s="6">
        <v>325</v>
      </c>
      <c r="B326" s="1" t="s">
        <v>1140</v>
      </c>
      <c r="C326" s="1" t="s">
        <v>1141</v>
      </c>
      <c r="D326" s="2">
        <v>124001545</v>
      </c>
      <c r="E326" s="1" t="s">
        <v>45</v>
      </c>
      <c r="F326" s="25">
        <v>16372.33</v>
      </c>
      <c r="G326" s="4">
        <v>45573</v>
      </c>
      <c r="H326" s="4">
        <v>42746</v>
      </c>
      <c r="I326" s="1" t="s">
        <v>383</v>
      </c>
      <c r="J326" s="8" t="s">
        <v>1142</v>
      </c>
      <c r="K326" s="17">
        <v>264</v>
      </c>
      <c r="L326" t="str">
        <f ca="1">+IF(TODAY()-ICETEX[[#This Row],[fecha_ultimo_movimiento]]&gt;360,"Inactivo","Activo")</f>
        <v>Activo</v>
      </c>
      <c r="M326" s="24">
        <f>+VLOOKUP(ICETEX[[#This Row],[fecha_ultimo_movimiento]],UVR!A:B,2,0)</f>
        <v>375.84010000000001</v>
      </c>
      <c r="N326" s="24">
        <v>44</v>
      </c>
      <c r="O326" t="s">
        <v>3264</v>
      </c>
    </row>
    <row r="327" spans="1:15" ht="15" thickBot="1">
      <c r="A327" s="6">
        <v>326</v>
      </c>
      <c r="B327" s="1" t="s">
        <v>1143</v>
      </c>
      <c r="C327" s="1" t="s">
        <v>1144</v>
      </c>
      <c r="D327" s="2">
        <v>114000776</v>
      </c>
      <c r="E327" s="1" t="s">
        <v>45</v>
      </c>
      <c r="F327" s="25">
        <v>193273.01</v>
      </c>
      <c r="G327" s="4">
        <v>45441</v>
      </c>
      <c r="H327" s="4">
        <v>42520</v>
      </c>
      <c r="I327" s="1" t="s">
        <v>383</v>
      </c>
      <c r="J327" s="7" t="s">
        <v>1145</v>
      </c>
      <c r="K327" s="17">
        <v>396</v>
      </c>
      <c r="L327" t="str">
        <f ca="1">+IF(TODAY()-ICETEX[[#This Row],[fecha_ultimo_movimiento]]&gt;360,"Inactivo","Activo")</f>
        <v>Inactivo</v>
      </c>
      <c r="M327" s="24">
        <f>+VLOOKUP(ICETEX[[#This Row],[fecha_ultimo_movimiento]],UVR!A:B,2,0)</f>
        <v>371.09350000000001</v>
      </c>
      <c r="N327" s="24">
        <v>521</v>
      </c>
      <c r="O327" t="s">
        <v>3264</v>
      </c>
    </row>
    <row r="328" spans="1:15" ht="15" thickBot="1">
      <c r="A328" s="6">
        <v>327</v>
      </c>
      <c r="B328" s="1" t="s">
        <v>1146</v>
      </c>
      <c r="C328" s="1" t="s">
        <v>1147</v>
      </c>
      <c r="D328" s="2">
        <v>62104203</v>
      </c>
      <c r="E328" s="1" t="s">
        <v>45</v>
      </c>
      <c r="F328" s="25">
        <v>27135.52</v>
      </c>
      <c r="G328" s="4">
        <v>45053</v>
      </c>
      <c r="H328" s="4">
        <v>43325</v>
      </c>
      <c r="I328" s="1" t="s">
        <v>1148</v>
      </c>
      <c r="J328" s="7" t="s">
        <v>1149</v>
      </c>
      <c r="K328" s="17">
        <v>784</v>
      </c>
      <c r="L328" t="str">
        <f ca="1">+IF(TODAY()-ICETEX[[#This Row],[fecha_ultimo_movimiento]]&gt;360,"Inactivo","Activo")</f>
        <v>Inactivo</v>
      </c>
      <c r="M328" s="24">
        <f>+VLOOKUP(ICETEX[[#This Row],[fecha_ultimo_movimiento]],UVR!A:B,2,0)</f>
        <v>343.7645</v>
      </c>
      <c r="N328" s="24">
        <v>79</v>
      </c>
      <c r="O328" t="s">
        <v>3265</v>
      </c>
    </row>
    <row r="329" spans="1:15" ht="15" thickBot="1">
      <c r="A329" s="6">
        <v>328</v>
      </c>
      <c r="B329" s="1" t="s">
        <v>1150</v>
      </c>
      <c r="C329" s="1" t="s">
        <v>1151</v>
      </c>
      <c r="D329" s="2">
        <v>72401789</v>
      </c>
      <c r="E329" s="1" t="s">
        <v>45</v>
      </c>
      <c r="F329" s="25">
        <v>45052.92</v>
      </c>
      <c r="G329" s="4">
        <v>44785</v>
      </c>
      <c r="H329" s="4">
        <v>42707</v>
      </c>
      <c r="I329" s="1" t="s">
        <v>270</v>
      </c>
      <c r="J329" s="8" t="s">
        <v>1152</v>
      </c>
      <c r="K329" s="17">
        <v>1052</v>
      </c>
      <c r="L329" t="str">
        <f ca="1">+IF(TODAY()-ICETEX[[#This Row],[fecha_ultimo_movimiento]]&gt;360,"Inactivo","Activo")</f>
        <v>Inactivo</v>
      </c>
      <c r="M329" s="24">
        <f>+VLOOKUP(ICETEX[[#This Row],[fecha_ultimo_movimiento]],UVR!A:B,2,0)</f>
        <v>311.95479999999998</v>
      </c>
      <c r="N329" s="24">
        <v>144</v>
      </c>
      <c r="O329" t="s">
        <v>3265</v>
      </c>
    </row>
    <row r="330" spans="1:15" ht="15" thickBot="1">
      <c r="A330" s="6">
        <v>329</v>
      </c>
      <c r="B330" s="1" t="s">
        <v>1153</v>
      </c>
      <c r="C330" s="1" t="s">
        <v>1154</v>
      </c>
      <c r="D330" s="2">
        <v>104903362</v>
      </c>
      <c r="E330" s="1" t="s">
        <v>12</v>
      </c>
      <c r="F330" s="25">
        <v>174017.35</v>
      </c>
      <c r="G330" s="4">
        <v>44052</v>
      </c>
      <c r="H330" s="4">
        <v>43295</v>
      </c>
      <c r="I330" s="1" t="s">
        <v>1155</v>
      </c>
      <c r="J330" s="7" t="s">
        <v>257</v>
      </c>
      <c r="K330" s="17">
        <v>1785</v>
      </c>
      <c r="L330" t="str">
        <f ca="1">+IF(TODAY()-ICETEX[[#This Row],[fecha_ultimo_movimiento]]&gt;360,"Inactivo","Activo")</f>
        <v>Inactivo</v>
      </c>
      <c r="M330" s="24">
        <f>+VLOOKUP(ICETEX[[#This Row],[fecha_ultimo_movimiento]],UVR!A:B,2,0)</f>
        <v>274.79239999999999</v>
      </c>
      <c r="N330" s="24">
        <v>633</v>
      </c>
      <c r="O330" t="s">
        <v>3264</v>
      </c>
    </row>
    <row r="331" spans="1:15" ht="15" thickBot="1">
      <c r="A331" s="6">
        <v>330</v>
      </c>
      <c r="B331" s="1" t="s">
        <v>1156</v>
      </c>
      <c r="C331" s="1" t="s">
        <v>1157</v>
      </c>
      <c r="D331" s="2">
        <v>91409571</v>
      </c>
      <c r="E331" s="1" t="s">
        <v>12</v>
      </c>
      <c r="F331" s="25">
        <v>12736.34</v>
      </c>
      <c r="G331" s="4">
        <v>44617</v>
      </c>
      <c r="H331" s="4">
        <v>43035</v>
      </c>
      <c r="I331" s="1" t="s">
        <v>907</v>
      </c>
      <c r="J331" s="7" t="s">
        <v>1158</v>
      </c>
      <c r="K331" s="17">
        <v>1220</v>
      </c>
      <c r="L331" t="str">
        <f ca="1">+IF(TODAY()-ICETEX[[#This Row],[fecha_ultimo_movimiento]]&gt;360,"Inactivo","Activo")</f>
        <v>Inactivo</v>
      </c>
      <c r="M331" s="24">
        <f>+VLOOKUP(ICETEX[[#This Row],[fecha_ultimo_movimiento]],UVR!A:B,2,0)</f>
        <v>293.1574</v>
      </c>
      <c r="N331" s="24">
        <v>43</v>
      </c>
      <c r="O331" t="s">
        <v>3265</v>
      </c>
    </row>
    <row r="332" spans="1:15" ht="15" thickBot="1">
      <c r="A332" s="6">
        <v>331</v>
      </c>
      <c r="B332" s="1" t="s">
        <v>1159</v>
      </c>
      <c r="C332" s="1" t="s">
        <v>1160</v>
      </c>
      <c r="D332" s="2">
        <v>113001077</v>
      </c>
      <c r="E332" s="1" t="s">
        <v>45</v>
      </c>
      <c r="F332" s="25">
        <v>27803.17</v>
      </c>
      <c r="G332" s="4">
        <v>44902</v>
      </c>
      <c r="H332" s="4">
        <v>42600</v>
      </c>
      <c r="I332" s="1" t="s">
        <v>1161</v>
      </c>
      <c r="J332" s="7" t="s">
        <v>1162</v>
      </c>
      <c r="K332" s="17">
        <v>935</v>
      </c>
      <c r="L332" t="str">
        <f ca="1">+IF(TODAY()-ICETEX[[#This Row],[fecha_ultimo_movimiento]]&gt;360,"Inactivo","Activo")</f>
        <v>Inactivo</v>
      </c>
      <c r="M332" s="24">
        <f>+VLOOKUP(ICETEX[[#This Row],[fecha_ultimo_movimiento]],UVR!A:B,2,0)</f>
        <v>322.49400000000003</v>
      </c>
      <c r="N332" s="24">
        <v>86</v>
      </c>
      <c r="O332" t="s">
        <v>3265</v>
      </c>
    </row>
    <row r="333" spans="1:15" ht="15" thickBot="1">
      <c r="A333" s="6">
        <v>332</v>
      </c>
      <c r="B333" s="1" t="s">
        <v>1163</v>
      </c>
      <c r="C333" s="1" t="s">
        <v>1164</v>
      </c>
      <c r="D333" s="2">
        <v>71100324</v>
      </c>
      <c r="E333" s="1" t="s">
        <v>12</v>
      </c>
      <c r="F333" s="25">
        <v>130524.95</v>
      </c>
      <c r="G333" s="4">
        <v>44769</v>
      </c>
      <c r="H333" s="4">
        <v>42523</v>
      </c>
      <c r="I333" s="1" t="s">
        <v>538</v>
      </c>
      <c r="J333" s="7" t="s">
        <v>1165</v>
      </c>
      <c r="K333" s="17">
        <v>1068</v>
      </c>
      <c r="L333" t="str">
        <f ca="1">+IF(TODAY()-ICETEX[[#This Row],[fecha_ultimo_movimiento]]&gt;360,"Inactivo","Activo")</f>
        <v>Inactivo</v>
      </c>
      <c r="M333" s="24">
        <f>+VLOOKUP(ICETEX[[#This Row],[fecha_ultimo_movimiento]],UVR!A:B,2,0)</f>
        <v>311.13679999999999</v>
      </c>
      <c r="N333" s="24">
        <v>420</v>
      </c>
      <c r="O333" t="s">
        <v>3264</v>
      </c>
    </row>
    <row r="334" spans="1:15" ht="15" thickBot="1">
      <c r="A334" s="6">
        <v>333</v>
      </c>
      <c r="B334" s="1" t="s">
        <v>1166</v>
      </c>
      <c r="C334" s="1" t="s">
        <v>1167</v>
      </c>
      <c r="D334" s="2">
        <v>82904043</v>
      </c>
      <c r="E334" s="1" t="s">
        <v>12</v>
      </c>
      <c r="F334" s="25">
        <v>109567.93</v>
      </c>
      <c r="G334" s="4">
        <v>45393</v>
      </c>
      <c r="H334" s="4">
        <v>43165</v>
      </c>
      <c r="I334" s="1" t="s">
        <v>1168</v>
      </c>
      <c r="J334" s="7" t="s">
        <v>1169</v>
      </c>
      <c r="K334" s="17">
        <v>444</v>
      </c>
      <c r="L334" t="str">
        <f ca="1">+IF(TODAY()-ICETEX[[#This Row],[fecha_ultimo_movimiento]]&gt;360,"Inactivo","Activo")</f>
        <v>Inactivo</v>
      </c>
      <c r="M334" s="24">
        <f>+VLOOKUP(ICETEX[[#This Row],[fecha_ultimo_movimiento]],UVR!A:B,2,0)</f>
        <v>367.0224</v>
      </c>
      <c r="N334" s="24">
        <v>299</v>
      </c>
      <c r="O334" t="s">
        <v>3265</v>
      </c>
    </row>
    <row r="335" spans="1:15" ht="15" thickBot="1">
      <c r="A335" s="6">
        <v>334</v>
      </c>
      <c r="B335" s="1" t="s">
        <v>1170</v>
      </c>
      <c r="C335" s="1" t="s">
        <v>1171</v>
      </c>
      <c r="D335" s="2">
        <v>114922430</v>
      </c>
      <c r="E335" s="1" t="s">
        <v>12</v>
      </c>
      <c r="F335" s="25">
        <v>158074.41</v>
      </c>
      <c r="G335" s="4">
        <v>45023</v>
      </c>
      <c r="H335" s="4">
        <v>43414</v>
      </c>
      <c r="I335" s="1" t="s">
        <v>1172</v>
      </c>
      <c r="J335" s="8" t="s">
        <v>1173</v>
      </c>
      <c r="K335" s="17">
        <v>814</v>
      </c>
      <c r="L335" t="str">
        <f ca="1">+IF(TODAY()-ICETEX[[#This Row],[fecha_ultimo_movimiento]]&gt;360,"Inactivo","Activo")</f>
        <v>Inactivo</v>
      </c>
      <c r="M335" s="24">
        <f>+VLOOKUP(ICETEX[[#This Row],[fecha_ultimo_movimiento]],UVR!A:B,2,0)</f>
        <v>339.69499999999999</v>
      </c>
      <c r="N335" s="24">
        <v>465</v>
      </c>
      <c r="O335" t="s">
        <v>3264</v>
      </c>
    </row>
    <row r="336" spans="1:15" ht="15" thickBot="1">
      <c r="A336" s="6">
        <v>335</v>
      </c>
      <c r="B336" s="1" t="s">
        <v>1174</v>
      </c>
      <c r="C336" s="1" t="s">
        <v>1175</v>
      </c>
      <c r="D336" s="2">
        <v>103000703</v>
      </c>
      <c r="E336" s="1" t="s">
        <v>12</v>
      </c>
      <c r="F336" s="25">
        <v>187960.47</v>
      </c>
      <c r="G336" s="4">
        <v>45703</v>
      </c>
      <c r="H336" s="4">
        <v>42991</v>
      </c>
      <c r="I336" s="1" t="s">
        <v>104</v>
      </c>
      <c r="J336" s="7" t="s">
        <v>1176</v>
      </c>
      <c r="K336" s="17">
        <v>134</v>
      </c>
      <c r="L336" t="str">
        <f ca="1">+IF(TODAY()-ICETEX[[#This Row],[fecha_ultimo_movimiento]]&gt;360,"Inactivo","Activo")</f>
        <v>Activo</v>
      </c>
      <c r="M336" s="24">
        <f>+VLOOKUP(ICETEX[[#This Row],[fecha_ultimo_movimiento]],UVR!A:B,2,0)</f>
        <v>379.00360000000001</v>
      </c>
      <c r="N336" s="24">
        <v>496</v>
      </c>
      <c r="O336" t="s">
        <v>3264</v>
      </c>
    </row>
    <row r="337" spans="1:15" ht="15" thickBot="1">
      <c r="A337" s="6">
        <v>336</v>
      </c>
      <c r="B337" s="1" t="s">
        <v>1177</v>
      </c>
      <c r="C337" s="1" t="s">
        <v>1178</v>
      </c>
      <c r="D337" s="2">
        <v>72404841</v>
      </c>
      <c r="E337" s="1" t="s">
        <v>45</v>
      </c>
      <c r="F337" s="25">
        <v>109148.99</v>
      </c>
      <c r="G337" s="4">
        <v>45051</v>
      </c>
      <c r="H337" s="4">
        <v>43109</v>
      </c>
      <c r="I337" s="1" t="s">
        <v>131</v>
      </c>
      <c r="J337" s="7" t="s">
        <v>1179</v>
      </c>
      <c r="K337" s="17">
        <v>786</v>
      </c>
      <c r="L337" t="str">
        <f ca="1">+IF(TODAY()-ICETEX[[#This Row],[fecha_ultimo_movimiento]]&gt;360,"Inactivo","Activo")</f>
        <v>Inactivo</v>
      </c>
      <c r="M337" s="24">
        <f>+VLOOKUP(ICETEX[[#This Row],[fecha_ultimo_movimiento]],UVR!A:B,2,0)</f>
        <v>343.52519999999998</v>
      </c>
      <c r="N337" s="24">
        <v>318</v>
      </c>
      <c r="O337" t="s">
        <v>3265</v>
      </c>
    </row>
    <row r="338" spans="1:15" ht="15" thickBot="1">
      <c r="A338" s="6">
        <v>337</v>
      </c>
      <c r="B338" s="1" t="s">
        <v>1180</v>
      </c>
      <c r="C338" s="1" t="s">
        <v>1181</v>
      </c>
      <c r="D338" s="2">
        <v>21308817</v>
      </c>
      <c r="E338" s="1" t="s">
        <v>12</v>
      </c>
      <c r="F338" s="25">
        <v>154458.32</v>
      </c>
      <c r="G338" s="4">
        <v>44213</v>
      </c>
      <c r="H338" s="4">
        <v>42431</v>
      </c>
      <c r="I338" s="1" t="s">
        <v>1182</v>
      </c>
      <c r="J338" s="7" t="s">
        <v>1183</v>
      </c>
      <c r="K338" s="17">
        <v>1624</v>
      </c>
      <c r="L338" t="str">
        <f ca="1">+IF(TODAY()-ICETEX[[#This Row],[fecha_ultimo_movimiento]]&gt;360,"Inactivo","Activo")</f>
        <v>Inactivo</v>
      </c>
      <c r="M338" s="24">
        <f>+VLOOKUP(ICETEX[[#This Row],[fecha_ultimo_movimiento]],UVR!A:B,2,0)</f>
        <v>274.93020000000001</v>
      </c>
      <c r="N338" s="24">
        <v>562</v>
      </c>
      <c r="O338" t="s">
        <v>3264</v>
      </c>
    </row>
    <row r="339" spans="1:15" ht="15" thickBot="1">
      <c r="A339" s="6">
        <v>338</v>
      </c>
      <c r="B339" s="1" t="s">
        <v>1184</v>
      </c>
      <c r="C339" s="1" t="s">
        <v>1185</v>
      </c>
      <c r="D339" s="2">
        <v>83901825</v>
      </c>
      <c r="E339" s="1" t="s">
        <v>12</v>
      </c>
      <c r="F339" s="25">
        <v>143596.53</v>
      </c>
      <c r="G339" s="4">
        <v>44014</v>
      </c>
      <c r="H339" s="4">
        <v>43348</v>
      </c>
      <c r="I339" s="1" t="s">
        <v>621</v>
      </c>
      <c r="J339" s="7" t="s">
        <v>1186</v>
      </c>
      <c r="K339" s="17">
        <v>1823</v>
      </c>
      <c r="L339" t="str">
        <f ca="1">+IF(TODAY()-ICETEX[[#This Row],[fecha_ultimo_movimiento]]&gt;360,"Inactivo","Activo")</f>
        <v>Inactivo</v>
      </c>
      <c r="M339" s="24">
        <f>+VLOOKUP(ICETEX[[#This Row],[fecha_ultimo_movimiento]],UVR!A:B,2,0)</f>
        <v>276.02050000000003</v>
      </c>
      <c r="N339" s="24">
        <v>520</v>
      </c>
      <c r="O339" t="s">
        <v>3264</v>
      </c>
    </row>
    <row r="340" spans="1:15" ht="15" thickBot="1">
      <c r="A340" s="6">
        <v>339</v>
      </c>
      <c r="B340" s="1" t="s">
        <v>1187</v>
      </c>
      <c r="C340" s="1" t="s">
        <v>1188</v>
      </c>
      <c r="D340" s="2">
        <v>252070309</v>
      </c>
      <c r="E340" s="1" t="s">
        <v>12</v>
      </c>
      <c r="F340" s="25">
        <v>134124.10999999999</v>
      </c>
      <c r="G340" s="4">
        <v>45687</v>
      </c>
      <c r="H340" s="4">
        <v>43075</v>
      </c>
      <c r="I340" s="1" t="s">
        <v>213</v>
      </c>
      <c r="J340" s="7" t="s">
        <v>1189</v>
      </c>
      <c r="K340" s="17">
        <v>150</v>
      </c>
      <c r="L340" t="str">
        <f ca="1">+IF(TODAY()-ICETEX[[#This Row],[fecha_ultimo_movimiento]]&gt;360,"Inactivo","Activo")</f>
        <v>Activo</v>
      </c>
      <c r="M340" s="24">
        <f>+VLOOKUP(ICETEX[[#This Row],[fecha_ultimo_movimiento]],UVR!A:B,2,0)</f>
        <v>378.1069</v>
      </c>
      <c r="N340" s="24">
        <v>355</v>
      </c>
      <c r="O340" t="s">
        <v>3264</v>
      </c>
    </row>
    <row r="341" spans="1:15" ht="15" thickBot="1">
      <c r="A341" s="6">
        <v>340</v>
      </c>
      <c r="B341" s="1" t="s">
        <v>1190</v>
      </c>
      <c r="C341" s="1" t="s">
        <v>1191</v>
      </c>
      <c r="D341" s="2">
        <v>75910882</v>
      </c>
      <c r="E341" s="1" t="s">
        <v>45</v>
      </c>
      <c r="F341" s="25">
        <v>190621.53</v>
      </c>
      <c r="G341" s="4">
        <v>44737</v>
      </c>
      <c r="H341" s="4">
        <v>42961</v>
      </c>
      <c r="I341" s="1" t="s">
        <v>127</v>
      </c>
      <c r="J341" s="7" t="s">
        <v>1192</v>
      </c>
      <c r="K341" s="17">
        <v>1100</v>
      </c>
      <c r="L341" t="str">
        <f ca="1">+IF(TODAY()-ICETEX[[#This Row],[fecha_ultimo_movimiento]]&gt;360,"Inactivo","Activo")</f>
        <v>Inactivo</v>
      </c>
      <c r="M341" s="24">
        <f>+VLOOKUP(ICETEX[[#This Row],[fecha_ultimo_movimiento]],UVR!A:B,2,0)</f>
        <v>308.7978</v>
      </c>
      <c r="N341" s="24">
        <v>617</v>
      </c>
      <c r="O341" t="s">
        <v>3264</v>
      </c>
    </row>
    <row r="342" spans="1:15" ht="15" thickBot="1">
      <c r="A342" s="6">
        <v>341</v>
      </c>
      <c r="B342" s="1" t="s">
        <v>169</v>
      </c>
      <c r="C342" s="1" t="s">
        <v>1193</v>
      </c>
      <c r="D342" s="2">
        <v>64202844</v>
      </c>
      <c r="E342" s="1" t="s">
        <v>12</v>
      </c>
      <c r="F342" s="25">
        <v>41667.86</v>
      </c>
      <c r="G342" s="4">
        <v>44161</v>
      </c>
      <c r="H342" s="4">
        <v>42504</v>
      </c>
      <c r="I342" s="1" t="s">
        <v>1194</v>
      </c>
      <c r="J342" s="7" t="s">
        <v>1195</v>
      </c>
      <c r="K342" s="17">
        <v>1676</v>
      </c>
      <c r="L342" t="str">
        <f ca="1">+IF(TODAY()-ICETEX[[#This Row],[fecha_ultimo_movimiento]]&gt;360,"Inactivo","Activo")</f>
        <v>Inactivo</v>
      </c>
      <c r="M342" s="24">
        <f>+VLOOKUP(ICETEX[[#This Row],[fecha_ultimo_movimiento]],UVR!A:B,2,0)</f>
        <v>275.38049999999998</v>
      </c>
      <c r="N342" s="24">
        <v>151</v>
      </c>
      <c r="O342" t="s">
        <v>3265</v>
      </c>
    </row>
    <row r="343" spans="1:15" ht="15" thickBot="1">
      <c r="A343" s="6">
        <v>342</v>
      </c>
      <c r="B343" s="1" t="s">
        <v>1196</v>
      </c>
      <c r="C343" s="1" t="s">
        <v>1197</v>
      </c>
      <c r="D343" s="2">
        <v>221572838</v>
      </c>
      <c r="E343" s="1" t="s">
        <v>12</v>
      </c>
      <c r="F343" s="25">
        <v>182616.45</v>
      </c>
      <c r="G343" s="4">
        <v>44954</v>
      </c>
      <c r="H343" s="4">
        <v>42522</v>
      </c>
      <c r="I343" s="1" t="s">
        <v>1198</v>
      </c>
      <c r="J343" s="7" t="s">
        <v>1199</v>
      </c>
      <c r="K343" s="17">
        <v>883</v>
      </c>
      <c r="L343" t="str">
        <f ca="1">+IF(TODAY()-ICETEX[[#This Row],[fecha_ultimo_movimiento]]&gt;360,"Inactivo","Activo")</f>
        <v>Inactivo</v>
      </c>
      <c r="M343" s="24">
        <f>+VLOOKUP(ICETEX[[#This Row],[fecha_ultimo_movimiento]],UVR!A:B,2,0)</f>
        <v>327.31380000000001</v>
      </c>
      <c r="N343" s="24">
        <v>558</v>
      </c>
      <c r="O343" t="s">
        <v>3264</v>
      </c>
    </row>
    <row r="344" spans="1:15" ht="15" thickBot="1">
      <c r="A344" s="6">
        <v>343</v>
      </c>
      <c r="B344" s="1" t="s">
        <v>1200</v>
      </c>
      <c r="C344" s="1" t="s">
        <v>1201</v>
      </c>
      <c r="D344" s="2">
        <v>113010217</v>
      </c>
      <c r="E344" s="1" t="s">
        <v>45</v>
      </c>
      <c r="F344" s="25">
        <v>62688.74</v>
      </c>
      <c r="G344" s="4">
        <v>45291</v>
      </c>
      <c r="H344" s="4">
        <v>42482</v>
      </c>
      <c r="I344" s="1" t="s">
        <v>1202</v>
      </c>
      <c r="J344" s="7" t="s">
        <v>1203</v>
      </c>
      <c r="K344" s="17">
        <v>546</v>
      </c>
      <c r="L344" t="str">
        <f ca="1">+IF(TODAY()-ICETEX[[#This Row],[fecha_ultimo_movimiento]]&gt;360,"Inactivo","Activo")</f>
        <v>Inactivo</v>
      </c>
      <c r="M344" s="24">
        <f>+VLOOKUP(ICETEX[[#This Row],[fecha_ultimo_movimiento]],UVR!A:B,2,0)</f>
        <v>357.8322</v>
      </c>
      <c r="N344" s="24">
        <v>175</v>
      </c>
      <c r="O344" t="s">
        <v>3265</v>
      </c>
    </row>
    <row r="345" spans="1:15" ht="15" thickBot="1">
      <c r="A345" s="6">
        <v>344</v>
      </c>
      <c r="B345" s="1" t="s">
        <v>1204</v>
      </c>
      <c r="C345" s="1" t="s">
        <v>1205</v>
      </c>
      <c r="D345" s="2">
        <v>83900619</v>
      </c>
      <c r="E345" s="1" t="s">
        <v>45</v>
      </c>
      <c r="F345" s="25">
        <v>82691.98</v>
      </c>
      <c r="G345" s="4">
        <v>44962</v>
      </c>
      <c r="H345" s="4">
        <v>43253</v>
      </c>
      <c r="I345" s="1" t="s">
        <v>621</v>
      </c>
      <c r="J345" s="7" t="s">
        <v>1206</v>
      </c>
      <c r="K345" s="17">
        <v>875</v>
      </c>
      <c r="L345" t="str">
        <f ca="1">+IF(TODAY()-ICETEX[[#This Row],[fecha_ultimo_movimiento]]&gt;360,"Inactivo","Activo")</f>
        <v>Inactivo</v>
      </c>
      <c r="M345" s="24">
        <f>+VLOOKUP(ICETEX[[#This Row],[fecha_ultimo_movimiento]],UVR!A:B,2,0)</f>
        <v>328.37310000000002</v>
      </c>
      <c r="N345" s="24">
        <v>252</v>
      </c>
      <c r="O345" t="s">
        <v>3265</v>
      </c>
    </row>
    <row r="346" spans="1:15" ht="15" thickBot="1">
      <c r="A346" s="6">
        <v>345</v>
      </c>
      <c r="B346" s="1" t="s">
        <v>1207</v>
      </c>
      <c r="C346" s="1" t="s">
        <v>1208</v>
      </c>
      <c r="D346" s="2">
        <v>31304720</v>
      </c>
      <c r="E346" s="1" t="s">
        <v>12</v>
      </c>
      <c r="F346" s="25">
        <v>102814.26</v>
      </c>
      <c r="G346" s="4">
        <v>44974</v>
      </c>
      <c r="H346" s="4">
        <v>42707</v>
      </c>
      <c r="I346" s="1" t="s">
        <v>1209</v>
      </c>
      <c r="J346" s="7" t="s">
        <v>1210</v>
      </c>
      <c r="K346" s="17">
        <v>863</v>
      </c>
      <c r="L346" t="str">
        <f ca="1">+IF(TODAY()-ICETEX[[#This Row],[fecha_ultimo_movimiento]]&gt;360,"Inactivo","Activo")</f>
        <v>Inactivo</v>
      </c>
      <c r="M346" s="24">
        <f>+VLOOKUP(ICETEX[[#This Row],[fecha_ultimo_movimiento]],UVR!A:B,2,0)</f>
        <v>330.11799999999999</v>
      </c>
      <c r="N346" s="24">
        <v>311</v>
      </c>
      <c r="O346" t="s">
        <v>3265</v>
      </c>
    </row>
    <row r="347" spans="1:15" ht="15" thickBot="1">
      <c r="A347" s="6">
        <v>346</v>
      </c>
      <c r="B347" s="1" t="s">
        <v>1211</v>
      </c>
      <c r="C347" s="1" t="s">
        <v>1212</v>
      </c>
      <c r="D347" s="2">
        <v>91904267</v>
      </c>
      <c r="E347" s="1" t="s">
        <v>45</v>
      </c>
      <c r="F347" s="25">
        <v>51783.57</v>
      </c>
      <c r="G347" s="4">
        <v>44085</v>
      </c>
      <c r="H347" s="4">
        <v>42447</v>
      </c>
      <c r="I347" s="1" t="s">
        <v>1213</v>
      </c>
      <c r="J347" s="7" t="s">
        <v>1214</v>
      </c>
      <c r="K347" s="17">
        <v>1752</v>
      </c>
      <c r="L347" t="str">
        <f ca="1">+IF(TODAY()-ICETEX[[#This Row],[fecha_ultimo_movimiento]]&gt;360,"Inactivo","Activo")</f>
        <v>Inactivo</v>
      </c>
      <c r="M347" s="24">
        <f>+VLOOKUP(ICETEX[[#This Row],[fecha_ultimo_movimiento]],UVR!A:B,2,0)</f>
        <v>274.58999999999997</v>
      </c>
      <c r="N347" s="24">
        <v>189</v>
      </c>
      <c r="O347" t="s">
        <v>3265</v>
      </c>
    </row>
    <row r="348" spans="1:15" ht="15" thickBot="1">
      <c r="A348" s="6">
        <v>347</v>
      </c>
      <c r="B348" s="1" t="s">
        <v>1215</v>
      </c>
      <c r="C348" s="1" t="s">
        <v>1216</v>
      </c>
      <c r="D348" s="2">
        <v>122233645</v>
      </c>
      <c r="E348" s="1" t="s">
        <v>12</v>
      </c>
      <c r="F348" s="25">
        <v>168840.75</v>
      </c>
      <c r="G348" s="4">
        <v>44488</v>
      </c>
      <c r="H348" s="4">
        <v>43376</v>
      </c>
      <c r="I348" s="1" t="s">
        <v>947</v>
      </c>
      <c r="J348" s="7" t="s">
        <v>1217</v>
      </c>
      <c r="K348" s="17">
        <v>1349</v>
      </c>
      <c r="L348" t="str">
        <f ca="1">+IF(TODAY()-ICETEX[[#This Row],[fecha_ultimo_movimiento]]&gt;360,"Inactivo","Activo")</f>
        <v>Inactivo</v>
      </c>
      <c r="M348" s="24">
        <f>+VLOOKUP(ICETEX[[#This Row],[fecha_ultimo_movimiento]],UVR!A:B,2,0)</f>
        <v>286.899</v>
      </c>
      <c r="N348" s="24">
        <v>589</v>
      </c>
      <c r="O348" t="s">
        <v>3264</v>
      </c>
    </row>
    <row r="349" spans="1:15" ht="15" thickBot="1">
      <c r="A349" s="6">
        <v>348</v>
      </c>
      <c r="B349" s="1" t="s">
        <v>1153</v>
      </c>
      <c r="C349" s="1" t="s">
        <v>1218</v>
      </c>
      <c r="D349" s="2">
        <v>101003773</v>
      </c>
      <c r="E349" s="1" t="s">
        <v>12</v>
      </c>
      <c r="F349" s="25">
        <v>128962.54</v>
      </c>
      <c r="G349" s="4">
        <v>44232</v>
      </c>
      <c r="H349" s="4">
        <v>43154</v>
      </c>
      <c r="I349" s="1" t="s">
        <v>1219</v>
      </c>
      <c r="J349" s="7" t="s">
        <v>1220</v>
      </c>
      <c r="K349" s="17">
        <v>1605</v>
      </c>
      <c r="L349" t="str">
        <f ca="1">+IF(TODAY()-ICETEX[[#This Row],[fecha_ultimo_movimiento]]&gt;360,"Inactivo","Activo")</f>
        <v>Inactivo</v>
      </c>
      <c r="M349" s="24">
        <f>+VLOOKUP(ICETEX[[#This Row],[fecha_ultimo_movimiento]],UVR!A:B,2,0)</f>
        <v>275.57</v>
      </c>
      <c r="N349" s="24">
        <v>468</v>
      </c>
      <c r="O349" t="s">
        <v>3264</v>
      </c>
    </row>
    <row r="350" spans="1:15" ht="15" thickBot="1">
      <c r="A350" s="6">
        <v>349</v>
      </c>
      <c r="B350" s="1" t="s">
        <v>1221</v>
      </c>
      <c r="C350" s="1" t="s">
        <v>1222</v>
      </c>
      <c r="D350" s="2">
        <v>63014499</v>
      </c>
      <c r="E350" s="1" t="s">
        <v>12</v>
      </c>
      <c r="F350" s="25">
        <v>31043.81</v>
      </c>
      <c r="G350" s="4">
        <v>45376</v>
      </c>
      <c r="H350" s="4">
        <v>42804</v>
      </c>
      <c r="I350" s="1" t="s">
        <v>401</v>
      </c>
      <c r="J350" s="7" t="s">
        <v>1223</v>
      </c>
      <c r="K350" s="17">
        <v>461</v>
      </c>
      <c r="L350" t="str">
        <f ca="1">+IF(TODAY()-ICETEX[[#This Row],[fecha_ultimo_movimiento]]&gt;360,"Inactivo","Activo")</f>
        <v>Inactivo</v>
      </c>
      <c r="M350" s="24">
        <f>+VLOOKUP(ICETEX[[#This Row],[fecha_ultimo_movimiento]],UVR!A:B,2,0)</f>
        <v>364.84690000000001</v>
      </c>
      <c r="N350" s="24">
        <v>85</v>
      </c>
      <c r="O350" t="s">
        <v>3265</v>
      </c>
    </row>
    <row r="351" spans="1:15" ht="15" thickBot="1">
      <c r="A351" s="6">
        <v>350</v>
      </c>
      <c r="B351" s="1" t="s">
        <v>1224</v>
      </c>
      <c r="C351" s="1" t="s">
        <v>1225</v>
      </c>
      <c r="D351" s="2">
        <v>91810623</v>
      </c>
      <c r="E351" s="1" t="s">
        <v>12</v>
      </c>
      <c r="F351" s="25">
        <v>87457.36</v>
      </c>
      <c r="G351" s="4">
        <v>44973</v>
      </c>
      <c r="H351" s="4">
        <v>43314</v>
      </c>
      <c r="I351" s="1" t="s">
        <v>1226</v>
      </c>
      <c r="J351" s="7" t="s">
        <v>1227</v>
      </c>
      <c r="K351" s="17">
        <v>864</v>
      </c>
      <c r="L351" t="str">
        <f ca="1">+IF(TODAY()-ICETEX[[#This Row],[fecha_ultimo_movimiento]]&gt;360,"Inactivo","Activo")</f>
        <v>Inactivo</v>
      </c>
      <c r="M351" s="24">
        <f>+VLOOKUP(ICETEX[[#This Row],[fecha_ultimo_movimiento]],UVR!A:B,2,0)</f>
        <v>329.91</v>
      </c>
      <c r="N351" s="24">
        <v>265</v>
      </c>
      <c r="O351" t="s">
        <v>3265</v>
      </c>
    </row>
    <row r="352" spans="1:15" ht="15" thickBot="1">
      <c r="A352" s="6">
        <v>351</v>
      </c>
      <c r="B352" s="1" t="s">
        <v>1004</v>
      </c>
      <c r="C352" s="1" t="s">
        <v>1228</v>
      </c>
      <c r="D352" s="2">
        <v>107006091</v>
      </c>
      <c r="E352" s="1" t="s">
        <v>12</v>
      </c>
      <c r="F352" s="25">
        <v>119627.98</v>
      </c>
      <c r="G352" s="4">
        <v>44624</v>
      </c>
      <c r="H352" s="4">
        <v>42502</v>
      </c>
      <c r="I352" s="1" t="s">
        <v>54</v>
      </c>
      <c r="J352" s="7" t="s">
        <v>1229</v>
      </c>
      <c r="K352" s="17">
        <v>1213</v>
      </c>
      <c r="L352" t="str">
        <f ca="1">+IF(TODAY()-ICETEX[[#This Row],[fecha_ultimo_movimiento]]&gt;360,"Inactivo","Activo")</f>
        <v>Inactivo</v>
      </c>
      <c r="M352" s="24">
        <f>+VLOOKUP(ICETEX[[#This Row],[fecha_ultimo_movimiento]],UVR!A:B,2,0)</f>
        <v>294.37380000000002</v>
      </c>
      <c r="N352" s="24">
        <v>406</v>
      </c>
      <c r="O352" t="s">
        <v>3264</v>
      </c>
    </row>
    <row r="353" spans="1:15" ht="15" thickBot="1">
      <c r="A353" s="6">
        <v>352</v>
      </c>
      <c r="B353" s="1" t="s">
        <v>1230</v>
      </c>
      <c r="C353" s="1" t="s">
        <v>1231</v>
      </c>
      <c r="D353" s="2">
        <v>67001699</v>
      </c>
      <c r="E353" s="1" t="s">
        <v>12</v>
      </c>
      <c r="F353" s="25">
        <v>34114.22</v>
      </c>
      <c r="G353" s="4">
        <v>44268</v>
      </c>
      <c r="H353" s="4">
        <v>42874</v>
      </c>
      <c r="I353" s="1" t="s">
        <v>447</v>
      </c>
      <c r="J353" s="7" t="s">
        <v>1232</v>
      </c>
      <c r="K353" s="17">
        <v>1569</v>
      </c>
      <c r="L353" t="str">
        <f ca="1">+IF(TODAY()-ICETEX[[#This Row],[fecha_ultimo_movimiento]]&gt;360,"Inactivo","Activo")</f>
        <v>Inactivo</v>
      </c>
      <c r="M353" s="24">
        <f>+VLOOKUP(ICETEX[[#This Row],[fecha_ultimo_movimiento]],UVR!A:B,2,0)</f>
        <v>276.95769999999999</v>
      </c>
      <c r="N353" s="24">
        <v>123</v>
      </c>
      <c r="O353" t="s">
        <v>3265</v>
      </c>
    </row>
    <row r="354" spans="1:15" ht="15" thickBot="1">
      <c r="A354" s="6">
        <v>353</v>
      </c>
      <c r="B354" s="1" t="s">
        <v>1233</v>
      </c>
      <c r="C354" s="1" t="s">
        <v>1234</v>
      </c>
      <c r="D354" s="2">
        <v>111904231</v>
      </c>
      <c r="E354" s="1" t="s">
        <v>45</v>
      </c>
      <c r="F354" s="25">
        <v>75808.09</v>
      </c>
      <c r="G354" s="4">
        <v>45050</v>
      </c>
      <c r="H354" s="4">
        <v>43363</v>
      </c>
      <c r="I354" s="1" t="s">
        <v>503</v>
      </c>
      <c r="J354" s="7" t="s">
        <v>1235</v>
      </c>
      <c r="K354" s="17">
        <v>787</v>
      </c>
      <c r="L354" t="str">
        <f ca="1">+IF(TODAY()-ICETEX[[#This Row],[fecha_ultimo_movimiento]]&gt;360,"Inactivo","Activo")</f>
        <v>Inactivo</v>
      </c>
      <c r="M354" s="24">
        <f>+VLOOKUP(ICETEX[[#This Row],[fecha_ultimo_movimiento]],UVR!A:B,2,0)</f>
        <v>343.40559999999999</v>
      </c>
      <c r="N354" s="24">
        <v>221</v>
      </c>
      <c r="O354" t="s">
        <v>3265</v>
      </c>
    </row>
    <row r="355" spans="1:15" ht="15" thickBot="1">
      <c r="A355" s="6">
        <v>354</v>
      </c>
      <c r="B355" s="1" t="s">
        <v>1236</v>
      </c>
      <c r="C355" s="1" t="s">
        <v>1237</v>
      </c>
      <c r="D355" s="2">
        <v>21206676</v>
      </c>
      <c r="E355" s="1" t="s">
        <v>12</v>
      </c>
      <c r="F355" s="25">
        <v>120488.55</v>
      </c>
      <c r="G355" s="4">
        <v>45685</v>
      </c>
      <c r="H355" s="4">
        <v>43314</v>
      </c>
      <c r="I355" s="1" t="s">
        <v>238</v>
      </c>
      <c r="J355" s="7" t="s">
        <v>324</v>
      </c>
      <c r="K355" s="17">
        <v>152</v>
      </c>
      <c r="L355" t="str">
        <f ca="1">+IF(TODAY()-ICETEX[[#This Row],[fecha_ultimo_movimiento]]&gt;360,"Inactivo","Activo")</f>
        <v>Activo</v>
      </c>
      <c r="M355" s="24">
        <f>+VLOOKUP(ICETEX[[#This Row],[fecha_ultimo_movimiento]],UVR!A:B,2,0)</f>
        <v>377.995</v>
      </c>
      <c r="N355" s="24">
        <v>319</v>
      </c>
      <c r="O355" t="s">
        <v>3264</v>
      </c>
    </row>
    <row r="356" spans="1:15" ht="15" thickBot="1">
      <c r="A356" s="6">
        <v>355</v>
      </c>
      <c r="B356" s="1" t="s">
        <v>1238</v>
      </c>
      <c r="C356" s="1" t="s">
        <v>1239</v>
      </c>
      <c r="D356" s="2">
        <v>64108757</v>
      </c>
      <c r="E356" s="1" t="s">
        <v>45</v>
      </c>
      <c r="F356" s="25">
        <v>180768.48</v>
      </c>
      <c r="G356" s="4">
        <v>44996</v>
      </c>
      <c r="H356" s="4">
        <v>42735</v>
      </c>
      <c r="I356" s="1" t="s">
        <v>131</v>
      </c>
      <c r="J356" s="7" t="s">
        <v>1240</v>
      </c>
      <c r="K356" s="17">
        <v>841</v>
      </c>
      <c r="L356" t="str">
        <f ca="1">+IF(TODAY()-ICETEX[[#This Row],[fecha_ultimo_movimiento]]&gt;360,"Inactivo","Activo")</f>
        <v>Inactivo</v>
      </c>
      <c r="M356" s="24">
        <f>+VLOOKUP(ICETEX[[#This Row],[fecha_ultimo_movimiento]],UVR!A:B,2,0)</f>
        <v>334.72620000000001</v>
      </c>
      <c r="N356" s="24">
        <v>540</v>
      </c>
      <c r="O356" t="s">
        <v>3264</v>
      </c>
    </row>
    <row r="357" spans="1:15" ht="15" thickBot="1">
      <c r="A357" s="6">
        <v>356</v>
      </c>
      <c r="B357" s="1" t="s">
        <v>1241</v>
      </c>
      <c r="C357" s="1" t="s">
        <v>1242</v>
      </c>
      <c r="D357" s="2">
        <v>81001727</v>
      </c>
      <c r="E357" s="1" t="s">
        <v>12</v>
      </c>
      <c r="F357" s="25">
        <v>28085.82</v>
      </c>
      <c r="G357" s="4">
        <v>45165</v>
      </c>
      <c r="H357" s="4">
        <v>43456</v>
      </c>
      <c r="I357" s="1" t="s">
        <v>538</v>
      </c>
      <c r="J357" s="7" t="s">
        <v>1243</v>
      </c>
      <c r="K357" s="17">
        <v>672</v>
      </c>
      <c r="L357" t="str">
        <f ca="1">+IF(TODAY()-ICETEX[[#This Row],[fecha_ultimo_movimiento]]&gt;360,"Inactivo","Activo")</f>
        <v>Inactivo</v>
      </c>
      <c r="M357" s="24">
        <f>+VLOOKUP(ICETEX[[#This Row],[fecha_ultimo_movimiento]],UVR!A:B,2,0)</f>
        <v>350.62909999999999</v>
      </c>
      <c r="N357" s="24">
        <v>80</v>
      </c>
      <c r="O357" t="s">
        <v>3265</v>
      </c>
    </row>
    <row r="358" spans="1:15" ht="15" thickBot="1">
      <c r="A358" s="6">
        <v>357</v>
      </c>
      <c r="B358" s="1" t="s">
        <v>1244</v>
      </c>
      <c r="C358" s="1" t="s">
        <v>1245</v>
      </c>
      <c r="D358" s="2">
        <v>111924800</v>
      </c>
      <c r="E358" s="1" t="s">
        <v>45</v>
      </c>
      <c r="F358" s="25">
        <v>57192.74</v>
      </c>
      <c r="G358" s="4">
        <v>45135</v>
      </c>
      <c r="H358" s="4">
        <v>42705</v>
      </c>
      <c r="I358" s="1" t="s">
        <v>104</v>
      </c>
      <c r="J358" s="7" t="s">
        <v>1246</v>
      </c>
      <c r="K358" s="17">
        <v>702</v>
      </c>
      <c r="L358" t="str">
        <f ca="1">+IF(TODAY()-ICETEX[[#This Row],[fecha_ultimo_movimiento]]&gt;360,"Inactivo","Activo")</f>
        <v>Inactivo</v>
      </c>
      <c r="M358" s="24">
        <f>+VLOOKUP(ICETEX[[#This Row],[fecha_ultimo_movimiento]],UVR!A:B,2,0)</f>
        <v>349.34469999999999</v>
      </c>
      <c r="N358" s="24">
        <v>164</v>
      </c>
      <c r="O358" t="s">
        <v>3265</v>
      </c>
    </row>
    <row r="359" spans="1:15" ht="15" thickBot="1">
      <c r="A359" s="6">
        <v>358</v>
      </c>
      <c r="B359" s="1" t="s">
        <v>1247</v>
      </c>
      <c r="C359" s="1" t="s">
        <v>1248</v>
      </c>
      <c r="D359" s="2">
        <v>113007835</v>
      </c>
      <c r="E359" s="1" t="s">
        <v>12</v>
      </c>
      <c r="F359" s="25">
        <v>147585.45000000001</v>
      </c>
      <c r="G359" s="4">
        <v>44523</v>
      </c>
      <c r="H359" s="4">
        <v>42969</v>
      </c>
      <c r="I359" s="1" t="s">
        <v>50</v>
      </c>
      <c r="J359" s="7" t="s">
        <v>1249</v>
      </c>
      <c r="K359" s="17">
        <v>1314</v>
      </c>
      <c r="L359" t="str">
        <f ca="1">+IF(TODAY()-ICETEX[[#This Row],[fecha_ultimo_movimiento]]&gt;360,"Inactivo","Activo")</f>
        <v>Inactivo</v>
      </c>
      <c r="M359" s="24">
        <f>+VLOOKUP(ICETEX[[#This Row],[fecha_ultimo_movimiento]],UVR!A:B,2,0)</f>
        <v>287.85599999999999</v>
      </c>
      <c r="N359" s="24">
        <v>513</v>
      </c>
      <c r="O359" t="s">
        <v>3264</v>
      </c>
    </row>
    <row r="360" spans="1:15" ht="15" thickBot="1">
      <c r="A360" s="6">
        <v>359</v>
      </c>
      <c r="B360" s="1" t="s">
        <v>1250</v>
      </c>
      <c r="C360" s="1" t="s">
        <v>1251</v>
      </c>
      <c r="D360" s="2">
        <v>61102701</v>
      </c>
      <c r="E360" s="1" t="s">
        <v>45</v>
      </c>
      <c r="F360" s="25">
        <v>116575.1</v>
      </c>
      <c r="G360" s="4">
        <v>44739</v>
      </c>
      <c r="H360" s="4">
        <v>42435</v>
      </c>
      <c r="I360" s="1" t="s">
        <v>1252</v>
      </c>
      <c r="J360" s="7" t="s">
        <v>1253</v>
      </c>
      <c r="K360" s="17">
        <v>1098</v>
      </c>
      <c r="L360" t="str">
        <f ca="1">+IF(TODAY()-ICETEX[[#This Row],[fecha_ultimo_movimiento]]&gt;360,"Inactivo","Activo")</f>
        <v>Inactivo</v>
      </c>
      <c r="M360" s="24">
        <f>+VLOOKUP(ICETEX[[#This Row],[fecha_ultimo_movimiento]],UVR!A:B,2,0)</f>
        <v>308.9701</v>
      </c>
      <c r="N360" s="24">
        <v>377</v>
      </c>
      <c r="O360" t="s">
        <v>3264</v>
      </c>
    </row>
    <row r="361" spans="1:15" ht="15" thickBot="1">
      <c r="A361" s="6">
        <v>360</v>
      </c>
      <c r="B361" s="1" t="s">
        <v>1254</v>
      </c>
      <c r="C361" s="1" t="s">
        <v>1255</v>
      </c>
      <c r="D361" s="2">
        <v>251472555</v>
      </c>
      <c r="E361" s="1" t="s">
        <v>45</v>
      </c>
      <c r="F361" s="25">
        <v>130134.11</v>
      </c>
      <c r="G361" s="4">
        <v>45578</v>
      </c>
      <c r="H361" s="4">
        <v>42798</v>
      </c>
      <c r="I361" s="1" t="s">
        <v>1256</v>
      </c>
      <c r="J361" s="7" t="s">
        <v>1257</v>
      </c>
      <c r="K361" s="17">
        <v>259</v>
      </c>
      <c r="L361" t="str">
        <f ca="1">+IF(TODAY()-ICETEX[[#This Row],[fecha_ultimo_movimiento]]&gt;360,"Inactivo","Activo")</f>
        <v>Activo</v>
      </c>
      <c r="M361" s="24">
        <f>+VLOOKUP(ICETEX[[#This Row],[fecha_ultimo_movimiento]],UVR!A:B,2,0)</f>
        <v>375.84010000000001</v>
      </c>
      <c r="N361" s="24">
        <v>346</v>
      </c>
      <c r="O361" t="s">
        <v>3264</v>
      </c>
    </row>
    <row r="362" spans="1:15" ht="15" thickBot="1">
      <c r="A362" s="6">
        <v>361</v>
      </c>
      <c r="B362" s="1" t="s">
        <v>1258</v>
      </c>
      <c r="C362" s="1" t="s">
        <v>1259</v>
      </c>
      <c r="D362" s="2">
        <v>103110813</v>
      </c>
      <c r="E362" s="1" t="s">
        <v>45</v>
      </c>
      <c r="F362" s="25">
        <v>136044.35</v>
      </c>
      <c r="G362" s="4">
        <v>44113</v>
      </c>
      <c r="H362" s="4">
        <v>42503</v>
      </c>
      <c r="I362" s="1" t="s">
        <v>1260</v>
      </c>
      <c r="J362" s="7" t="s">
        <v>1261</v>
      </c>
      <c r="K362" s="17">
        <v>1724</v>
      </c>
      <c r="L362" t="str">
        <f ca="1">+IF(TODAY()-ICETEX[[#This Row],[fecha_ultimo_movimiento]]&gt;360,"Inactivo","Activo")</f>
        <v>Inactivo</v>
      </c>
      <c r="M362" s="24">
        <f>+VLOOKUP(ICETEX[[#This Row],[fecha_ultimo_movimiento]],UVR!A:B,2,0)</f>
        <v>274.56799999999998</v>
      </c>
      <c r="N362" s="24">
        <v>495</v>
      </c>
      <c r="O362" t="s">
        <v>3264</v>
      </c>
    </row>
    <row r="363" spans="1:15" ht="15" thickBot="1">
      <c r="A363" s="6">
        <v>362</v>
      </c>
      <c r="B363" s="1" t="s">
        <v>1262</v>
      </c>
      <c r="C363" s="1" t="s">
        <v>1263</v>
      </c>
      <c r="D363" s="2">
        <v>67001699</v>
      </c>
      <c r="E363" s="1" t="s">
        <v>12</v>
      </c>
      <c r="F363" s="25">
        <v>118165.12</v>
      </c>
      <c r="G363" s="4">
        <v>45145</v>
      </c>
      <c r="H363" s="4">
        <v>43024</v>
      </c>
      <c r="I363" s="1" t="s">
        <v>447</v>
      </c>
      <c r="J363" s="7" t="s">
        <v>1264</v>
      </c>
      <c r="K363" s="17">
        <v>692</v>
      </c>
      <c r="L363" t="str">
        <f ca="1">+IF(TODAY()-ICETEX[[#This Row],[fecha_ultimo_movimiento]]&gt;360,"Inactivo","Activo")</f>
        <v>Inactivo</v>
      </c>
      <c r="M363" s="24">
        <f>+VLOOKUP(ICETEX[[#This Row],[fecha_ultimo_movimiento]],UVR!A:B,2,0)</f>
        <v>349.68239999999997</v>
      </c>
      <c r="N363" s="24">
        <v>338</v>
      </c>
      <c r="O363" t="s">
        <v>3264</v>
      </c>
    </row>
    <row r="364" spans="1:15" ht="15" thickBot="1">
      <c r="A364" s="6">
        <v>363</v>
      </c>
      <c r="B364" s="1" t="s">
        <v>760</v>
      </c>
      <c r="C364" s="1" t="s">
        <v>1265</v>
      </c>
      <c r="D364" s="2">
        <v>104913048</v>
      </c>
      <c r="E364" s="1" t="s">
        <v>12</v>
      </c>
      <c r="F364" s="25">
        <v>60600.75</v>
      </c>
      <c r="G364" s="4">
        <v>45465</v>
      </c>
      <c r="H364" s="4">
        <v>42949</v>
      </c>
      <c r="I364" s="1" t="s">
        <v>1266</v>
      </c>
      <c r="J364" s="7" t="s">
        <v>1267</v>
      </c>
      <c r="K364" s="17">
        <v>372</v>
      </c>
      <c r="L364" t="str">
        <f ca="1">+IF(TODAY()-ICETEX[[#This Row],[fecha_ultimo_movimiento]]&gt;360,"Inactivo","Activo")</f>
        <v>Inactivo</v>
      </c>
      <c r="M364" s="24">
        <f>+VLOOKUP(ICETEX[[#This Row],[fecha_ultimo_movimiento]],UVR!A:B,2,0)</f>
        <v>372.66539999999998</v>
      </c>
      <c r="N364" s="24">
        <v>163</v>
      </c>
      <c r="O364" t="s">
        <v>3265</v>
      </c>
    </row>
    <row r="365" spans="1:15" ht="15" thickBot="1">
      <c r="A365" s="6">
        <v>364</v>
      </c>
      <c r="B365" s="1" t="s">
        <v>1268</v>
      </c>
      <c r="C365" s="1" t="s">
        <v>1269</v>
      </c>
      <c r="D365" s="2">
        <v>114916019</v>
      </c>
      <c r="E365" s="1" t="s">
        <v>12</v>
      </c>
      <c r="F365" s="25">
        <v>76243.7</v>
      </c>
      <c r="G365" s="4">
        <v>44333</v>
      </c>
      <c r="H365" s="4">
        <v>43158</v>
      </c>
      <c r="I365" s="1" t="s">
        <v>1270</v>
      </c>
      <c r="J365" s="7" t="s">
        <v>1271</v>
      </c>
      <c r="K365" s="17">
        <v>1504</v>
      </c>
      <c r="L365" t="str">
        <f ca="1">+IF(TODAY()-ICETEX[[#This Row],[fecha_ultimo_movimiento]]&gt;360,"Inactivo","Activo")</f>
        <v>Inactivo</v>
      </c>
      <c r="M365" s="24">
        <f>+VLOOKUP(ICETEX[[#This Row],[fecha_ultimo_movimiento]],UVR!A:B,2,0)</f>
        <v>280.3399</v>
      </c>
      <c r="N365" s="24">
        <v>272</v>
      </c>
      <c r="O365" t="s">
        <v>3265</v>
      </c>
    </row>
    <row r="366" spans="1:15" ht="15" thickBot="1">
      <c r="A366" s="6">
        <v>365</v>
      </c>
      <c r="B366" s="1" t="s">
        <v>1272</v>
      </c>
      <c r="C366" s="1" t="s">
        <v>1273</v>
      </c>
      <c r="D366" s="2">
        <v>274970801</v>
      </c>
      <c r="E366" s="1" t="s">
        <v>12</v>
      </c>
      <c r="F366" s="25">
        <v>97452.9</v>
      </c>
      <c r="G366" s="4">
        <v>44458</v>
      </c>
      <c r="H366" s="4">
        <v>43356</v>
      </c>
      <c r="I366" s="1" t="s">
        <v>127</v>
      </c>
      <c r="J366" s="7" t="s">
        <v>1274</v>
      </c>
      <c r="K366" s="17">
        <v>1379</v>
      </c>
      <c r="L366" t="str">
        <f ca="1">+IF(TODAY()-ICETEX[[#This Row],[fecha_ultimo_movimiento]]&gt;360,"Inactivo","Activo")</f>
        <v>Inactivo</v>
      </c>
      <c r="M366" s="24">
        <f>+VLOOKUP(ICETEX[[#This Row],[fecha_ultimo_movimiento]],UVR!A:B,2,0)</f>
        <v>285.64499999999998</v>
      </c>
      <c r="N366" s="24">
        <v>341</v>
      </c>
      <c r="O366" t="s">
        <v>3264</v>
      </c>
    </row>
    <row r="367" spans="1:15" ht="15" thickBot="1">
      <c r="A367" s="6">
        <v>366</v>
      </c>
      <c r="B367" s="1" t="s">
        <v>1275</v>
      </c>
      <c r="C367" s="1" t="s">
        <v>1276</v>
      </c>
      <c r="D367" s="2">
        <v>61092691</v>
      </c>
      <c r="E367" s="1" t="s">
        <v>12</v>
      </c>
      <c r="F367" s="25">
        <v>214934.15</v>
      </c>
      <c r="G367" s="4">
        <v>45620</v>
      </c>
      <c r="H367" s="4">
        <v>42703</v>
      </c>
      <c r="I367" s="1" t="s">
        <v>1277</v>
      </c>
      <c r="J367" s="7" t="s">
        <v>1278</v>
      </c>
      <c r="K367" s="17">
        <v>217</v>
      </c>
      <c r="L367" t="str">
        <f ca="1">+IF(TODAY()-ICETEX[[#This Row],[fecha_ultimo_movimiento]]&gt;360,"Inactivo","Activo")</f>
        <v>Activo</v>
      </c>
      <c r="M367" s="24">
        <f>+VLOOKUP(ICETEX[[#This Row],[fecha_ultimo_movimiento]],UVR!A:B,2,0)</f>
        <v>376.5951</v>
      </c>
      <c r="N367" s="24">
        <v>571</v>
      </c>
      <c r="O367" t="s">
        <v>3264</v>
      </c>
    </row>
    <row r="368" spans="1:15" ht="15" thickBot="1">
      <c r="A368" s="6">
        <v>367</v>
      </c>
      <c r="B368" s="1" t="s">
        <v>1279</v>
      </c>
      <c r="C368" s="1" t="s">
        <v>1280</v>
      </c>
      <c r="D368" s="2">
        <v>82900429</v>
      </c>
      <c r="E368" s="1" t="s">
        <v>45</v>
      </c>
      <c r="F368" s="25">
        <v>74500.05</v>
      </c>
      <c r="G368" s="4">
        <v>45382</v>
      </c>
      <c r="H368" s="4">
        <v>43429</v>
      </c>
      <c r="I368" s="1" t="s">
        <v>13</v>
      </c>
      <c r="J368" s="7" t="s">
        <v>1281</v>
      </c>
      <c r="K368" s="17">
        <v>455</v>
      </c>
      <c r="L368" t="str">
        <f ca="1">+IF(TODAY()-ICETEX[[#This Row],[fecha_ultimo_movimiento]]&gt;360,"Inactivo","Activo")</f>
        <v>Inactivo</v>
      </c>
      <c r="M368" s="24">
        <f>+VLOOKUP(ICETEX[[#This Row],[fecha_ultimo_movimiento]],UVR!A:B,2,0)</f>
        <v>365.61320000000001</v>
      </c>
      <c r="N368" s="24">
        <v>204</v>
      </c>
      <c r="O368" t="s">
        <v>3265</v>
      </c>
    </row>
    <row r="369" spans="1:15" ht="15" thickBot="1">
      <c r="A369" s="6">
        <v>368</v>
      </c>
      <c r="B369" s="1" t="s">
        <v>627</v>
      </c>
      <c r="C369" s="1" t="s">
        <v>1282</v>
      </c>
      <c r="D369" s="2">
        <v>113105070</v>
      </c>
      <c r="E369" s="1" t="s">
        <v>45</v>
      </c>
      <c r="F369" s="25">
        <v>95789.46</v>
      </c>
      <c r="G369" s="4">
        <v>44386</v>
      </c>
      <c r="H369" s="4">
        <v>42586</v>
      </c>
      <c r="I369" s="1" t="s">
        <v>1283</v>
      </c>
      <c r="J369" s="7" t="s">
        <v>1284</v>
      </c>
      <c r="K369" s="17">
        <v>1451</v>
      </c>
      <c r="L369" t="str">
        <f ca="1">+IF(TODAY()-ICETEX[[#This Row],[fecha_ultimo_movimiento]]&gt;360,"Inactivo","Activo")</f>
        <v>Inactivo</v>
      </c>
      <c r="M369" s="24">
        <f>+VLOOKUP(ICETEX[[#This Row],[fecha_ultimo_movimiento]],UVR!A:B,2,0)</f>
        <v>284.1397</v>
      </c>
      <c r="N369" s="24">
        <v>337</v>
      </c>
      <c r="O369" t="s">
        <v>3264</v>
      </c>
    </row>
    <row r="370" spans="1:15" ht="15" thickBot="1">
      <c r="A370" s="6">
        <v>369</v>
      </c>
      <c r="B370" s="1" t="s">
        <v>1285</v>
      </c>
      <c r="C370" s="1" t="s">
        <v>1286</v>
      </c>
      <c r="D370" s="2">
        <v>107004637</v>
      </c>
      <c r="E370" s="1" t="s">
        <v>12</v>
      </c>
      <c r="F370" s="25">
        <v>169510.49</v>
      </c>
      <c r="G370" s="4">
        <v>45213</v>
      </c>
      <c r="H370" s="4">
        <v>42999</v>
      </c>
      <c r="I370" s="1" t="s">
        <v>54</v>
      </c>
      <c r="J370" s="7" t="s">
        <v>1287</v>
      </c>
      <c r="K370" s="17">
        <v>624</v>
      </c>
      <c r="L370" t="str">
        <f ca="1">+IF(TODAY()-ICETEX[[#This Row],[fecha_ultimo_movimiento]]&gt;360,"Inactivo","Activo")</f>
        <v>Inactivo</v>
      </c>
      <c r="M370" s="24">
        <f>+VLOOKUP(ICETEX[[#This Row],[fecha_ultimo_movimiento]],UVR!A:B,2,0)</f>
        <v>354.0822</v>
      </c>
      <c r="N370" s="24">
        <v>479</v>
      </c>
      <c r="O370" t="s">
        <v>3264</v>
      </c>
    </row>
    <row r="371" spans="1:15" ht="15" thickBot="1">
      <c r="A371" s="6">
        <v>370</v>
      </c>
      <c r="B371" s="1" t="s">
        <v>1288</v>
      </c>
      <c r="C371" s="1" t="s">
        <v>1289</v>
      </c>
      <c r="D371" s="2">
        <v>104901911</v>
      </c>
      <c r="E371" s="1" t="s">
        <v>45</v>
      </c>
      <c r="F371" s="25">
        <v>202444.38</v>
      </c>
      <c r="G371" s="4">
        <v>45299</v>
      </c>
      <c r="H371" s="4">
        <v>42795</v>
      </c>
      <c r="I371" s="1" t="s">
        <v>1290</v>
      </c>
      <c r="J371" s="8" t="s">
        <v>1291</v>
      </c>
      <c r="K371" s="17">
        <v>538</v>
      </c>
      <c r="L371" t="str">
        <f ca="1">+IF(TODAY()-ICETEX[[#This Row],[fecha_ultimo_movimiento]]&gt;360,"Inactivo","Activo")</f>
        <v>Inactivo</v>
      </c>
      <c r="M371" s="24">
        <f>+VLOOKUP(ICETEX[[#This Row],[fecha_ultimo_movimiento]],UVR!A:B,2,0)</f>
        <v>358.2654</v>
      </c>
      <c r="N371" s="24">
        <v>565</v>
      </c>
      <c r="O371" t="s">
        <v>3264</v>
      </c>
    </row>
    <row r="372" spans="1:15" ht="15" thickBot="1">
      <c r="A372" s="6">
        <v>371</v>
      </c>
      <c r="B372" s="1" t="s">
        <v>1292</v>
      </c>
      <c r="C372" s="1" t="s">
        <v>1293</v>
      </c>
      <c r="D372" s="2">
        <v>91215927</v>
      </c>
      <c r="E372" s="1" t="s">
        <v>12</v>
      </c>
      <c r="F372" s="25">
        <v>166376.85</v>
      </c>
      <c r="G372" s="4">
        <v>43895</v>
      </c>
      <c r="H372" s="4">
        <v>43144</v>
      </c>
      <c r="I372" s="1" t="s">
        <v>330</v>
      </c>
      <c r="J372" s="7" t="s">
        <v>1294</v>
      </c>
      <c r="K372" s="17">
        <v>1942</v>
      </c>
      <c r="L372" t="str">
        <f ca="1">+IF(TODAY()-ICETEX[[#This Row],[fecha_ultimo_movimiento]]&gt;360,"Inactivo","Activo")</f>
        <v>Inactivo</v>
      </c>
      <c r="M372" s="24">
        <f>+VLOOKUP(ICETEX[[#This Row],[fecha_ultimo_movimiento]],UVR!A:B,2,0)</f>
        <v>272.29509999999999</v>
      </c>
      <c r="N372" s="24">
        <v>611</v>
      </c>
      <c r="O372" t="s">
        <v>3264</v>
      </c>
    </row>
    <row r="373" spans="1:15" ht="15" thickBot="1">
      <c r="A373" s="6">
        <v>372</v>
      </c>
      <c r="B373" s="1" t="s">
        <v>1295</v>
      </c>
      <c r="C373" s="1" t="s">
        <v>1296</v>
      </c>
      <c r="D373" s="2">
        <v>61092332</v>
      </c>
      <c r="E373" s="1" t="s">
        <v>12</v>
      </c>
      <c r="F373" s="25">
        <v>137078.92000000001</v>
      </c>
      <c r="G373" s="4">
        <v>45135</v>
      </c>
      <c r="H373" s="4">
        <v>43129</v>
      </c>
      <c r="I373" s="1" t="s">
        <v>499</v>
      </c>
      <c r="J373" s="7" t="s">
        <v>1297</v>
      </c>
      <c r="K373" s="17">
        <v>702</v>
      </c>
      <c r="L373" t="str">
        <f ca="1">+IF(TODAY()-ICETEX[[#This Row],[fecha_ultimo_movimiento]]&gt;360,"Inactivo","Activo")</f>
        <v>Inactivo</v>
      </c>
      <c r="M373" s="24">
        <f>+VLOOKUP(ICETEX[[#This Row],[fecha_ultimo_movimiento]],UVR!A:B,2,0)</f>
        <v>349.34469999999999</v>
      </c>
      <c r="N373" s="24">
        <v>392</v>
      </c>
      <c r="O373" t="s">
        <v>3264</v>
      </c>
    </row>
    <row r="374" spans="1:15" ht="15" thickBot="1">
      <c r="A374" s="6">
        <v>373</v>
      </c>
      <c r="B374" s="1" t="s">
        <v>1298</v>
      </c>
      <c r="C374" s="1" t="s">
        <v>1299</v>
      </c>
      <c r="D374" s="2">
        <v>101002949</v>
      </c>
      <c r="E374" s="1" t="s">
        <v>12</v>
      </c>
      <c r="F374" s="25">
        <v>67541.240000000005</v>
      </c>
      <c r="G374" s="4">
        <v>44854</v>
      </c>
      <c r="H374" s="4">
        <v>43261</v>
      </c>
      <c r="I374" s="1" t="s">
        <v>471</v>
      </c>
      <c r="J374" s="7" t="s">
        <v>1300</v>
      </c>
      <c r="K374" s="17">
        <v>983</v>
      </c>
      <c r="L374" t="str">
        <f ca="1">+IF(TODAY()-ICETEX[[#This Row],[fecha_ultimo_movimiento]]&gt;360,"Inactivo","Activo")</f>
        <v>Inactivo</v>
      </c>
      <c r="M374" s="24">
        <f>+VLOOKUP(ICETEX[[#This Row],[fecha_ultimo_movimiento]],UVR!A:B,2,0)</f>
        <v>318.32069999999999</v>
      </c>
      <c r="N374" s="24">
        <v>212</v>
      </c>
      <c r="O374" t="s">
        <v>3265</v>
      </c>
    </row>
    <row r="375" spans="1:15" ht="15" thickBot="1">
      <c r="A375" s="6">
        <v>374</v>
      </c>
      <c r="B375" s="1" t="s">
        <v>1301</v>
      </c>
      <c r="C375" s="1" t="s">
        <v>1302</v>
      </c>
      <c r="D375" s="2">
        <v>122401781</v>
      </c>
      <c r="E375" s="1" t="s">
        <v>12</v>
      </c>
      <c r="F375" s="25">
        <v>144580.44</v>
      </c>
      <c r="G375" s="4">
        <v>45024</v>
      </c>
      <c r="H375" s="4">
        <v>43295</v>
      </c>
      <c r="I375" s="1" t="s">
        <v>419</v>
      </c>
      <c r="J375" s="7" t="s">
        <v>1303</v>
      </c>
      <c r="K375" s="17">
        <v>813</v>
      </c>
      <c r="L375" t="str">
        <f ca="1">+IF(TODAY()-ICETEX[[#This Row],[fecha_ultimo_movimiento]]&gt;360,"Inactivo","Activo")</f>
        <v>Inactivo</v>
      </c>
      <c r="M375" s="24">
        <f>+VLOOKUP(ICETEX[[#This Row],[fecha_ultimo_movimiento]],UVR!A:B,2,0)</f>
        <v>339.87549999999999</v>
      </c>
      <c r="N375" s="24">
        <v>425</v>
      </c>
      <c r="O375" t="s">
        <v>3264</v>
      </c>
    </row>
    <row r="376" spans="1:15" ht="15" thickBot="1">
      <c r="A376" s="6">
        <v>375</v>
      </c>
      <c r="B376" s="1" t="s">
        <v>1304</v>
      </c>
      <c r="C376" s="1" t="s">
        <v>1305</v>
      </c>
      <c r="D376" s="2">
        <v>82901460</v>
      </c>
      <c r="E376" s="1" t="s">
        <v>45</v>
      </c>
      <c r="F376" s="25">
        <v>138835.4</v>
      </c>
      <c r="G376" s="4">
        <v>43973</v>
      </c>
      <c r="H376" s="4">
        <v>42789</v>
      </c>
      <c r="I376" s="1" t="s">
        <v>1306</v>
      </c>
      <c r="J376" s="7" t="s">
        <v>1307</v>
      </c>
      <c r="K376" s="17">
        <v>1864</v>
      </c>
      <c r="L376" t="str">
        <f ca="1">+IF(TODAY()-ICETEX[[#This Row],[fecha_ultimo_movimiento]]&gt;360,"Inactivo","Activo")</f>
        <v>Inactivo</v>
      </c>
      <c r="M376" s="24">
        <f>+VLOOKUP(ICETEX[[#This Row],[fecha_ultimo_movimiento]],UVR!A:B,2,0)</f>
        <v>276.18029999999999</v>
      </c>
      <c r="N376" s="24">
        <v>503</v>
      </c>
      <c r="O376" t="s">
        <v>3264</v>
      </c>
    </row>
    <row r="377" spans="1:15" ht="15" thickBot="1">
      <c r="A377" s="6">
        <v>376</v>
      </c>
      <c r="B377" s="1" t="s">
        <v>1308</v>
      </c>
      <c r="C377" s="1" t="s">
        <v>1309</v>
      </c>
      <c r="D377" s="2">
        <v>104913912</v>
      </c>
      <c r="E377" s="1" t="s">
        <v>12</v>
      </c>
      <c r="F377" s="25">
        <v>46372.42</v>
      </c>
      <c r="G377" s="4">
        <v>44992</v>
      </c>
      <c r="H377" s="4">
        <v>43315</v>
      </c>
      <c r="I377" s="1" t="s">
        <v>221</v>
      </c>
      <c r="J377" s="7" t="s">
        <v>1310</v>
      </c>
      <c r="K377" s="17">
        <v>845</v>
      </c>
      <c r="L377" t="str">
        <f ca="1">+IF(TODAY()-ICETEX[[#This Row],[fecha_ultimo_movimiento]]&gt;360,"Inactivo","Activo")</f>
        <v>Inactivo</v>
      </c>
      <c r="M377" s="24">
        <f>+VLOOKUP(ICETEX[[#This Row],[fecha_ultimo_movimiento]],UVR!A:B,2,0)</f>
        <v>333.88350000000003</v>
      </c>
      <c r="N377" s="24">
        <v>139</v>
      </c>
      <c r="O377" t="s">
        <v>3265</v>
      </c>
    </row>
    <row r="378" spans="1:15" ht="15" thickBot="1">
      <c r="A378" s="6">
        <v>377</v>
      </c>
      <c r="B378" s="1" t="s">
        <v>1311</v>
      </c>
      <c r="C378" s="1" t="s">
        <v>1312</v>
      </c>
      <c r="D378" s="2">
        <v>242272816</v>
      </c>
      <c r="E378" s="1" t="s">
        <v>12</v>
      </c>
      <c r="F378" s="25">
        <v>121848.3</v>
      </c>
      <c r="G378" s="4">
        <v>43997</v>
      </c>
      <c r="H378" s="4">
        <v>42613</v>
      </c>
      <c r="I378" s="1" t="s">
        <v>434</v>
      </c>
      <c r="J378" s="7" t="s">
        <v>1313</v>
      </c>
      <c r="K378" s="17">
        <v>1840</v>
      </c>
      <c r="L378" t="str">
        <f ca="1">+IF(TODAY()-ICETEX[[#This Row],[fecha_ultimo_movimiento]]&gt;360,"Inactivo","Activo")</f>
        <v>Inactivo</v>
      </c>
      <c r="M378" s="24">
        <f>+VLOOKUP(ICETEX[[#This Row],[fecha_ultimo_movimiento]],UVR!A:B,2,0)</f>
        <v>276.52229999999997</v>
      </c>
      <c r="N378" s="24">
        <v>441</v>
      </c>
      <c r="O378" t="s">
        <v>3264</v>
      </c>
    </row>
    <row r="379" spans="1:15" ht="15" thickBot="1">
      <c r="A379" s="6">
        <v>378</v>
      </c>
      <c r="B379" s="1" t="s">
        <v>1314</v>
      </c>
      <c r="C379" s="1" t="s">
        <v>1315</v>
      </c>
      <c r="D379" s="2">
        <v>67014123</v>
      </c>
      <c r="E379" s="1" t="s">
        <v>12</v>
      </c>
      <c r="F379" s="25">
        <v>34997.370000000003</v>
      </c>
      <c r="G379" s="4">
        <v>44516</v>
      </c>
      <c r="H379" s="4">
        <v>43380</v>
      </c>
      <c r="I379" s="1" t="s">
        <v>780</v>
      </c>
      <c r="J379" s="7" t="s">
        <v>1316</v>
      </c>
      <c r="K379" s="17">
        <v>1321</v>
      </c>
      <c r="L379" t="str">
        <f ca="1">+IF(TODAY()-ICETEX[[#This Row],[fecha_ultimo_movimiento]]&gt;360,"Inactivo","Activo")</f>
        <v>Inactivo</v>
      </c>
      <c r="M379" s="24">
        <f>+VLOOKUP(ICETEX[[#This Row],[fecha_ultimo_movimiento]],UVR!A:B,2,0)</f>
        <v>287.84930000000003</v>
      </c>
      <c r="N379" s="24">
        <v>122</v>
      </c>
      <c r="O379" t="s">
        <v>3265</v>
      </c>
    </row>
    <row r="380" spans="1:15" ht="15" thickBot="1">
      <c r="A380" s="6">
        <v>379</v>
      </c>
      <c r="B380" s="1" t="s">
        <v>508</v>
      </c>
      <c r="C380" s="1" t="s">
        <v>1317</v>
      </c>
      <c r="D380" s="2">
        <v>75902065</v>
      </c>
      <c r="E380" s="1" t="s">
        <v>45</v>
      </c>
      <c r="F380" s="25">
        <v>67523.87</v>
      </c>
      <c r="G380" s="4">
        <v>43974</v>
      </c>
      <c r="H380" s="4">
        <v>43425</v>
      </c>
      <c r="I380" s="1" t="s">
        <v>127</v>
      </c>
      <c r="J380" s="7" t="s">
        <v>1318</v>
      </c>
      <c r="K380" s="17">
        <v>1863</v>
      </c>
      <c r="L380" t="str">
        <f ca="1">+IF(TODAY()-ICETEX[[#This Row],[fecha_ultimo_movimiento]]&gt;360,"Inactivo","Activo")</f>
        <v>Inactivo</v>
      </c>
      <c r="M380" s="24">
        <f>+VLOOKUP(ICETEX[[#This Row],[fecha_ultimo_movimiento]],UVR!A:B,2,0)</f>
        <v>276.19450000000001</v>
      </c>
      <c r="N380" s="24">
        <v>244</v>
      </c>
      <c r="O380" t="s">
        <v>3265</v>
      </c>
    </row>
    <row r="381" spans="1:15" ht="15" thickBot="1">
      <c r="A381" s="6">
        <v>380</v>
      </c>
      <c r="B381" s="1" t="s">
        <v>1319</v>
      </c>
      <c r="C381" s="1" t="s">
        <v>1320</v>
      </c>
      <c r="D381" s="2">
        <v>101101662</v>
      </c>
      <c r="E381" s="1" t="s">
        <v>12</v>
      </c>
      <c r="F381" s="25">
        <v>131269.32</v>
      </c>
      <c r="G381" s="4">
        <v>44584</v>
      </c>
      <c r="H381" s="4">
        <v>42394</v>
      </c>
      <c r="I381" s="1" t="s">
        <v>1321</v>
      </c>
      <c r="J381" s="7" t="s">
        <v>1322</v>
      </c>
      <c r="K381" s="17">
        <v>1253</v>
      </c>
      <c r="L381" t="str">
        <f ca="1">+IF(TODAY()-ICETEX[[#This Row],[fecha_ultimo_movimiento]]&gt;360,"Inactivo","Activo")</f>
        <v>Inactivo</v>
      </c>
      <c r="M381" s="24">
        <f>+VLOOKUP(ICETEX[[#This Row],[fecha_ultimo_movimiento]],UVR!A:B,2,0)</f>
        <v>289.86009999999999</v>
      </c>
      <c r="N381" s="24">
        <v>453</v>
      </c>
      <c r="O381" t="s">
        <v>3264</v>
      </c>
    </row>
    <row r="382" spans="1:15" ht="15" thickBot="1">
      <c r="A382" s="6">
        <v>381</v>
      </c>
      <c r="B382" s="1" t="s">
        <v>1323</v>
      </c>
      <c r="C382" s="1" t="s">
        <v>1324</v>
      </c>
      <c r="D382" s="2">
        <v>75000734</v>
      </c>
      <c r="E382" s="1" t="s">
        <v>45</v>
      </c>
      <c r="F382" s="25">
        <v>95175.41</v>
      </c>
      <c r="G382" s="4">
        <v>45605</v>
      </c>
      <c r="H382" s="4">
        <v>43016</v>
      </c>
      <c r="I382" s="1" t="s">
        <v>127</v>
      </c>
      <c r="J382" s="7" t="s">
        <v>1325</v>
      </c>
      <c r="K382" s="17">
        <v>232</v>
      </c>
      <c r="L382" t="str">
        <f ca="1">+IF(TODAY()-ICETEX[[#This Row],[fecha_ultimo_movimiento]]&gt;360,"Inactivo","Activo")</f>
        <v>Activo</v>
      </c>
      <c r="M382" s="24">
        <f>+VLOOKUP(ICETEX[[#This Row],[fecha_ultimo_movimiento]],UVR!A:B,2,0)</f>
        <v>376.56740000000002</v>
      </c>
      <c r="N382" s="24">
        <v>253</v>
      </c>
      <c r="O382" t="s">
        <v>3264</v>
      </c>
    </row>
    <row r="383" spans="1:15" ht="15" thickBot="1">
      <c r="A383" s="6">
        <v>382</v>
      </c>
      <c r="B383" s="1" t="s">
        <v>1326</v>
      </c>
      <c r="C383" s="1" t="s">
        <v>1327</v>
      </c>
      <c r="D383" s="2">
        <v>91001322</v>
      </c>
      <c r="E383" s="1" t="s">
        <v>45</v>
      </c>
      <c r="F383" s="25">
        <v>146946.31</v>
      </c>
      <c r="G383" s="4">
        <v>45579</v>
      </c>
      <c r="H383" s="4">
        <v>42680</v>
      </c>
      <c r="I383" s="1" t="s">
        <v>1328</v>
      </c>
      <c r="J383" s="7" t="s">
        <v>1329</v>
      </c>
      <c r="K383" s="17">
        <v>258</v>
      </c>
      <c r="L383" t="str">
        <f ca="1">+IF(TODAY()-ICETEX[[#This Row],[fecha_ultimo_movimiento]]&gt;360,"Inactivo","Activo")</f>
        <v>Activo</v>
      </c>
      <c r="M383" s="24">
        <f>+VLOOKUP(ICETEX[[#This Row],[fecha_ultimo_movimiento]],UVR!A:B,2,0)</f>
        <v>375.84010000000001</v>
      </c>
      <c r="N383" s="24">
        <v>391</v>
      </c>
      <c r="O383" t="s">
        <v>3264</v>
      </c>
    </row>
    <row r="384" spans="1:15" ht="15" thickBot="1">
      <c r="A384" s="6">
        <v>383</v>
      </c>
      <c r="B384" s="1" t="s">
        <v>1330</v>
      </c>
      <c r="C384" s="1" t="s">
        <v>1331</v>
      </c>
      <c r="D384" s="2">
        <v>55001054</v>
      </c>
      <c r="E384" s="1" t="s">
        <v>12</v>
      </c>
      <c r="F384" s="25">
        <v>108498.2</v>
      </c>
      <c r="G384" s="4">
        <v>45081</v>
      </c>
      <c r="H384" s="4">
        <v>42498</v>
      </c>
      <c r="I384" s="1" t="s">
        <v>147</v>
      </c>
      <c r="J384" s="7" t="s">
        <v>1332</v>
      </c>
      <c r="K384" s="17">
        <v>756</v>
      </c>
      <c r="L384" t="str">
        <f ca="1">+IF(TODAY()-ICETEX[[#This Row],[fecha_ultimo_movimiento]]&gt;360,"Inactivo","Activo")</f>
        <v>Inactivo</v>
      </c>
      <c r="M384" s="24">
        <f>+VLOOKUP(ICETEX[[#This Row],[fecha_ultimo_movimiento]],UVR!A:B,2,0)</f>
        <v>346.45569999999998</v>
      </c>
      <c r="N384" s="24">
        <v>313</v>
      </c>
      <c r="O384" t="s">
        <v>3265</v>
      </c>
    </row>
    <row r="385" spans="1:15" ht="15" thickBot="1">
      <c r="A385" s="6">
        <v>384</v>
      </c>
      <c r="B385" s="1" t="s">
        <v>1333</v>
      </c>
      <c r="C385" s="1" t="s">
        <v>1334</v>
      </c>
      <c r="D385" s="2">
        <v>71000013</v>
      </c>
      <c r="E385" s="1" t="s">
        <v>12</v>
      </c>
      <c r="F385" s="25">
        <v>190819.31</v>
      </c>
      <c r="G385" s="4">
        <v>44615</v>
      </c>
      <c r="H385" s="4">
        <v>43399</v>
      </c>
      <c r="I385" s="1" t="s">
        <v>1335</v>
      </c>
      <c r="J385" s="7" t="s">
        <v>1336</v>
      </c>
      <c r="K385" s="17">
        <v>1222</v>
      </c>
      <c r="L385" t="str">
        <f ca="1">+IF(TODAY()-ICETEX[[#This Row],[fecha_ultimo_movimiento]]&gt;360,"Inactivo","Activo")</f>
        <v>Inactivo</v>
      </c>
      <c r="M385" s="24">
        <f>+VLOOKUP(ICETEX[[#This Row],[fecha_ultimo_movimiento]],UVR!A:B,2,0)</f>
        <v>292.81079999999997</v>
      </c>
      <c r="N385" s="24">
        <v>652</v>
      </c>
      <c r="O385" t="s">
        <v>3264</v>
      </c>
    </row>
    <row r="386" spans="1:15" ht="15" thickBot="1">
      <c r="A386" s="6">
        <v>385</v>
      </c>
      <c r="B386" s="1" t="s">
        <v>1337</v>
      </c>
      <c r="C386" s="1" t="s">
        <v>1338</v>
      </c>
      <c r="D386" s="2">
        <v>86518749</v>
      </c>
      <c r="E386" s="1" t="s">
        <v>45</v>
      </c>
      <c r="F386" s="25">
        <v>101515.78</v>
      </c>
      <c r="G386" s="4">
        <v>44894</v>
      </c>
      <c r="H386" s="4">
        <v>42586</v>
      </c>
      <c r="I386" s="1" t="s">
        <v>135</v>
      </c>
      <c r="J386" s="7" t="s">
        <v>1339</v>
      </c>
      <c r="K386" s="17">
        <v>943</v>
      </c>
      <c r="L386" t="str">
        <f ca="1">+IF(TODAY()-ICETEX[[#This Row],[fecha_ultimo_movimiento]]&gt;360,"Inactivo","Activo")</f>
        <v>Inactivo</v>
      </c>
      <c r="M386" s="24">
        <f>+VLOOKUP(ICETEX[[#This Row],[fecha_ultimo_movimiento]],UVR!A:B,2,0)</f>
        <v>321.87759999999997</v>
      </c>
      <c r="N386" s="24">
        <v>315</v>
      </c>
      <c r="O386" t="s">
        <v>3265</v>
      </c>
    </row>
    <row r="387" spans="1:15" ht="15" thickBot="1">
      <c r="A387" s="6">
        <v>386</v>
      </c>
      <c r="B387" s="1" t="s">
        <v>1340</v>
      </c>
      <c r="C387" s="1" t="s">
        <v>1341</v>
      </c>
      <c r="D387" s="2">
        <v>11301798</v>
      </c>
      <c r="E387" s="1" t="s">
        <v>45</v>
      </c>
      <c r="F387" s="25">
        <v>30072.79</v>
      </c>
      <c r="G387" s="4">
        <v>44997</v>
      </c>
      <c r="H387" s="4">
        <v>43227</v>
      </c>
      <c r="I387" s="1" t="s">
        <v>702</v>
      </c>
      <c r="J387" s="7" t="s">
        <v>1342</v>
      </c>
      <c r="K387" s="17">
        <v>840</v>
      </c>
      <c r="L387" t="str">
        <f ca="1">+IF(TODAY()-ICETEX[[#This Row],[fecha_ultimo_movimiento]]&gt;360,"Inactivo","Activo")</f>
        <v>Inactivo</v>
      </c>
      <c r="M387" s="24">
        <f>+VLOOKUP(ICETEX[[#This Row],[fecha_ultimo_movimiento]],UVR!A:B,2,0)</f>
        <v>334.93709999999999</v>
      </c>
      <c r="N387" s="24">
        <v>90</v>
      </c>
      <c r="O387" t="s">
        <v>3265</v>
      </c>
    </row>
    <row r="388" spans="1:15" ht="15" thickBot="1">
      <c r="A388" s="6">
        <v>387</v>
      </c>
      <c r="B388" s="1" t="s">
        <v>1343</v>
      </c>
      <c r="C388" s="1" t="s">
        <v>1344</v>
      </c>
      <c r="D388" s="2">
        <v>75901710</v>
      </c>
      <c r="E388" s="1" t="s">
        <v>45</v>
      </c>
      <c r="F388" s="25">
        <v>157102.68</v>
      </c>
      <c r="G388" s="4">
        <v>44545</v>
      </c>
      <c r="H388" s="4">
        <v>42525</v>
      </c>
      <c r="I388" s="1" t="s">
        <v>127</v>
      </c>
      <c r="J388" s="7" t="s">
        <v>1345</v>
      </c>
      <c r="K388" s="17">
        <v>1292</v>
      </c>
      <c r="L388" t="str">
        <f ca="1">+IF(TODAY()-ICETEX[[#This Row],[fecha_ultimo_movimiento]]&gt;360,"Inactivo","Activo")</f>
        <v>Inactivo</v>
      </c>
      <c r="M388" s="24">
        <f>+VLOOKUP(ICETEX[[#This Row],[fecha_ultimo_movimiento]],UVR!A:B,2,0)</f>
        <v>287.87709999999998</v>
      </c>
      <c r="N388" s="24">
        <v>546</v>
      </c>
      <c r="O388" t="s">
        <v>3264</v>
      </c>
    </row>
    <row r="389" spans="1:15" ht="15" thickBot="1">
      <c r="A389" s="6">
        <v>388</v>
      </c>
      <c r="B389" s="1" t="s">
        <v>1346</v>
      </c>
      <c r="C389" s="1" t="s">
        <v>1347</v>
      </c>
      <c r="D389" s="2">
        <v>43306855</v>
      </c>
      <c r="E389" s="1" t="s">
        <v>12</v>
      </c>
      <c r="F389" s="25">
        <v>179037.96</v>
      </c>
      <c r="G389" s="4">
        <v>44271</v>
      </c>
      <c r="H389" s="4">
        <v>42769</v>
      </c>
      <c r="I389" s="1" t="s">
        <v>745</v>
      </c>
      <c r="J389" s="7" t="s">
        <v>1348</v>
      </c>
      <c r="K389" s="17">
        <v>1566</v>
      </c>
      <c r="L389" t="str">
        <f ca="1">+IF(TODAY()-ICETEX[[#This Row],[fecha_ultimo_movimiento]]&gt;360,"Inactivo","Activo")</f>
        <v>Inactivo</v>
      </c>
      <c r="M389" s="24">
        <f>+VLOOKUP(ICETEX[[#This Row],[fecha_ultimo_movimiento]],UVR!A:B,2,0)</f>
        <v>277.09559999999999</v>
      </c>
      <c r="N389" s="24">
        <v>646</v>
      </c>
      <c r="O389" t="s">
        <v>3264</v>
      </c>
    </row>
    <row r="390" spans="1:15" ht="15" thickBot="1">
      <c r="A390" s="6">
        <v>389</v>
      </c>
      <c r="B390" s="1" t="s">
        <v>1349</v>
      </c>
      <c r="C390" s="1" t="s">
        <v>1350</v>
      </c>
      <c r="D390" s="2">
        <v>86519311</v>
      </c>
      <c r="E390" s="1" t="s">
        <v>12</v>
      </c>
      <c r="F390" s="25">
        <v>186774.72</v>
      </c>
      <c r="G390" s="4">
        <v>44529</v>
      </c>
      <c r="H390" s="4">
        <v>42457</v>
      </c>
      <c r="I390" s="1" t="s">
        <v>1351</v>
      </c>
      <c r="J390" s="7" t="s">
        <v>1352</v>
      </c>
      <c r="K390" s="17">
        <v>1308</v>
      </c>
      <c r="L390" t="str">
        <f ca="1">+IF(TODAY()-ICETEX[[#This Row],[fecha_ultimo_movimiento]]&gt;360,"Inactivo","Activo")</f>
        <v>Inactivo</v>
      </c>
      <c r="M390" s="24">
        <f>+VLOOKUP(ICETEX[[#This Row],[fecha_ultimo_movimiento]],UVR!A:B,2,0)</f>
        <v>287.86169999999998</v>
      </c>
      <c r="N390" s="24">
        <v>649</v>
      </c>
      <c r="O390" t="s">
        <v>3264</v>
      </c>
    </row>
    <row r="391" spans="1:15" ht="15" thickBot="1">
      <c r="A391" s="6">
        <v>390</v>
      </c>
      <c r="B391" s="1" t="s">
        <v>1353</v>
      </c>
      <c r="C391" s="1" t="s">
        <v>1354</v>
      </c>
      <c r="D391" s="2">
        <v>91201915</v>
      </c>
      <c r="E391" s="1" t="s">
        <v>45</v>
      </c>
      <c r="F391" s="25">
        <v>86232.35</v>
      </c>
      <c r="G391" s="4">
        <v>44298</v>
      </c>
      <c r="H391" s="4">
        <v>42488</v>
      </c>
      <c r="I391" s="1" t="s">
        <v>1355</v>
      </c>
      <c r="J391" s="7" t="s">
        <v>1356</v>
      </c>
      <c r="K391" s="17">
        <v>1539</v>
      </c>
      <c r="L391" t="str">
        <f ca="1">+IF(TODAY()-ICETEX[[#This Row],[fecha_ultimo_movimiento]]&gt;360,"Inactivo","Activo")</f>
        <v>Inactivo</v>
      </c>
      <c r="M391" s="24">
        <f>+VLOOKUP(ICETEX[[#This Row],[fecha_ultimo_movimiento]],UVR!A:B,2,0)</f>
        <v>278.63959999999997</v>
      </c>
      <c r="N391" s="24">
        <v>309</v>
      </c>
      <c r="O391" t="s">
        <v>3265</v>
      </c>
    </row>
    <row r="392" spans="1:15" ht="15" thickBot="1">
      <c r="A392" s="6">
        <v>391</v>
      </c>
      <c r="B392" s="1" t="s">
        <v>1357</v>
      </c>
      <c r="C392" s="1" t="s">
        <v>1358</v>
      </c>
      <c r="D392" s="2">
        <v>63015537</v>
      </c>
      <c r="E392" s="1" t="s">
        <v>12</v>
      </c>
      <c r="F392" s="25">
        <v>17365.18</v>
      </c>
      <c r="G392" s="4">
        <v>45206</v>
      </c>
      <c r="H392" s="4">
        <v>43395</v>
      </c>
      <c r="I392" s="1" t="s">
        <v>499</v>
      </c>
      <c r="J392" s="7" t="s">
        <v>1359</v>
      </c>
      <c r="K392" s="17">
        <v>631</v>
      </c>
      <c r="L392" t="str">
        <f ca="1">+IF(TODAY()-ICETEX[[#This Row],[fecha_ultimo_movimiento]]&gt;360,"Inactivo","Activo")</f>
        <v>Inactivo</v>
      </c>
      <c r="M392" s="24">
        <f>+VLOOKUP(ICETEX[[#This Row],[fecha_ultimo_movimiento]],UVR!A:B,2,0)</f>
        <v>353.50630000000001</v>
      </c>
      <c r="N392" s="24">
        <v>49</v>
      </c>
      <c r="O392" t="s">
        <v>3265</v>
      </c>
    </row>
    <row r="393" spans="1:15" ht="15" thickBot="1">
      <c r="A393" s="6">
        <v>392</v>
      </c>
      <c r="B393" s="1" t="s">
        <v>1360</v>
      </c>
      <c r="C393" s="1" t="s">
        <v>1361</v>
      </c>
      <c r="D393" s="2">
        <v>275071314</v>
      </c>
      <c r="E393" s="1" t="s">
        <v>45</v>
      </c>
      <c r="F393" s="25">
        <v>176621.55</v>
      </c>
      <c r="G393" s="4">
        <v>44512</v>
      </c>
      <c r="H393" s="4">
        <v>43362</v>
      </c>
      <c r="I393" s="1" t="s">
        <v>127</v>
      </c>
      <c r="J393" s="7" t="s">
        <v>1362</v>
      </c>
      <c r="K393" s="17">
        <v>1325</v>
      </c>
      <c r="L393" t="str">
        <f ca="1">+IF(TODAY()-ICETEX[[#This Row],[fecha_ultimo_movimiento]]&gt;360,"Inactivo","Activo")</f>
        <v>Inactivo</v>
      </c>
      <c r="M393" s="24">
        <f>+VLOOKUP(ICETEX[[#This Row],[fecha_ultimo_movimiento]],UVR!A:B,2,0)</f>
        <v>287.74259999999998</v>
      </c>
      <c r="N393" s="24">
        <v>614</v>
      </c>
      <c r="O393" t="s">
        <v>3264</v>
      </c>
    </row>
    <row r="394" spans="1:15" ht="15" thickBot="1">
      <c r="A394" s="6">
        <v>393</v>
      </c>
      <c r="B394" s="1" t="s">
        <v>1363</v>
      </c>
      <c r="C394" s="1" t="s">
        <v>1364</v>
      </c>
      <c r="D394" s="2">
        <v>211070146</v>
      </c>
      <c r="E394" s="1" t="s">
        <v>12</v>
      </c>
      <c r="F394" s="25">
        <v>62256.58</v>
      </c>
      <c r="G394" s="4">
        <v>45381</v>
      </c>
      <c r="H394" s="4">
        <v>42490</v>
      </c>
      <c r="I394" s="1" t="s">
        <v>702</v>
      </c>
      <c r="J394" s="7" t="s">
        <v>1365</v>
      </c>
      <c r="K394" s="17">
        <v>456</v>
      </c>
      <c r="L394" t="str">
        <f ca="1">+IF(TODAY()-ICETEX[[#This Row],[fecha_ultimo_movimiento]]&gt;360,"Inactivo","Activo")</f>
        <v>Inactivo</v>
      </c>
      <c r="M394" s="24">
        <f>+VLOOKUP(ICETEX[[#This Row],[fecha_ultimo_movimiento]],UVR!A:B,2,0)</f>
        <v>365.48540000000003</v>
      </c>
      <c r="N394" s="24">
        <v>170</v>
      </c>
      <c r="O394" t="s">
        <v>3265</v>
      </c>
    </row>
    <row r="395" spans="1:15" ht="15" thickBot="1">
      <c r="A395" s="6">
        <v>394</v>
      </c>
      <c r="B395" s="1" t="s">
        <v>1366</v>
      </c>
      <c r="C395" s="1" t="s">
        <v>519</v>
      </c>
      <c r="D395" s="2">
        <v>91200738</v>
      </c>
      <c r="E395" s="1" t="s">
        <v>12</v>
      </c>
      <c r="F395" s="25">
        <v>16532.2</v>
      </c>
      <c r="G395" s="4">
        <v>44271</v>
      </c>
      <c r="H395" s="4">
        <v>42539</v>
      </c>
      <c r="I395" s="1" t="s">
        <v>1367</v>
      </c>
      <c r="J395" s="7" t="s">
        <v>1368</v>
      </c>
      <c r="K395" s="17">
        <v>1566</v>
      </c>
      <c r="L395" t="str">
        <f ca="1">+IF(TODAY()-ICETEX[[#This Row],[fecha_ultimo_movimiento]]&gt;360,"Inactivo","Activo")</f>
        <v>Inactivo</v>
      </c>
      <c r="M395" s="24">
        <f>+VLOOKUP(ICETEX[[#This Row],[fecha_ultimo_movimiento]],UVR!A:B,2,0)</f>
        <v>277.09559999999999</v>
      </c>
      <c r="N395" s="24">
        <v>60</v>
      </c>
      <c r="O395" t="s">
        <v>3265</v>
      </c>
    </row>
    <row r="396" spans="1:15" ht="15" thickBot="1">
      <c r="A396" s="6">
        <v>395</v>
      </c>
      <c r="B396" s="1" t="s">
        <v>1369</v>
      </c>
      <c r="C396" s="1" t="s">
        <v>1370</v>
      </c>
      <c r="D396" s="2">
        <v>65405132</v>
      </c>
      <c r="E396" s="1" t="s">
        <v>45</v>
      </c>
      <c r="F396" s="25">
        <v>56583.5</v>
      </c>
      <c r="G396" s="4">
        <v>45510</v>
      </c>
      <c r="H396" s="4">
        <v>43126</v>
      </c>
      <c r="I396" s="1" t="s">
        <v>13</v>
      </c>
      <c r="J396" s="7" t="s">
        <v>1371</v>
      </c>
      <c r="K396" s="17">
        <v>327</v>
      </c>
      <c r="L396" t="str">
        <f ca="1">+IF(TODAY()-ICETEX[[#This Row],[fecha_ultimo_movimiento]]&gt;360,"Inactivo","Activo")</f>
        <v>Activo</v>
      </c>
      <c r="M396" s="24">
        <f>+VLOOKUP(ICETEX[[#This Row],[fecha_ultimo_movimiento]],UVR!A:B,2,0)</f>
        <v>374.74209999999999</v>
      </c>
      <c r="N396" s="24">
        <v>151</v>
      </c>
      <c r="O396" t="s">
        <v>3264</v>
      </c>
    </row>
    <row r="397" spans="1:15" ht="15" thickBot="1">
      <c r="A397" s="6">
        <v>396</v>
      </c>
      <c r="B397" s="1" t="s">
        <v>1372</v>
      </c>
      <c r="C397" s="1" t="s">
        <v>1373</v>
      </c>
      <c r="D397" s="2">
        <v>11401533</v>
      </c>
      <c r="E397" s="1" t="s">
        <v>45</v>
      </c>
      <c r="F397" s="25">
        <v>17547.95</v>
      </c>
      <c r="G397" s="4">
        <v>44924</v>
      </c>
      <c r="H397" s="4">
        <v>42777</v>
      </c>
      <c r="I397" s="1" t="s">
        <v>1374</v>
      </c>
      <c r="J397" s="7" t="s">
        <v>1375</v>
      </c>
      <c r="K397" s="17">
        <v>913</v>
      </c>
      <c r="L397" t="str">
        <f ca="1">+IF(TODAY()-ICETEX[[#This Row],[fecha_ultimo_movimiento]]&gt;360,"Inactivo","Activo")</f>
        <v>Inactivo</v>
      </c>
      <c r="M397" s="24">
        <f>+VLOOKUP(ICETEX[[#This Row],[fecha_ultimo_movimiento]],UVR!A:B,2,0)</f>
        <v>324.2328</v>
      </c>
      <c r="N397" s="24">
        <v>54</v>
      </c>
      <c r="O397" t="s">
        <v>3265</v>
      </c>
    </row>
    <row r="398" spans="1:15" ht="15" thickBot="1">
      <c r="A398" s="6">
        <v>397</v>
      </c>
      <c r="B398" s="1" t="s">
        <v>672</v>
      </c>
      <c r="C398" s="1" t="s">
        <v>1376</v>
      </c>
      <c r="D398" s="2">
        <v>267090691</v>
      </c>
      <c r="E398" s="1" t="s">
        <v>12</v>
      </c>
      <c r="F398" s="25">
        <v>114389.36</v>
      </c>
      <c r="G398" s="4">
        <v>45105</v>
      </c>
      <c r="H398" s="4">
        <v>43328</v>
      </c>
      <c r="I398" s="1" t="s">
        <v>143</v>
      </c>
      <c r="J398" s="7" t="s">
        <v>1377</v>
      </c>
      <c r="K398" s="17">
        <v>732</v>
      </c>
      <c r="L398" t="str">
        <f ca="1">+IF(TODAY()-ICETEX[[#This Row],[fecha_ultimo_movimiento]]&gt;360,"Inactivo","Activo")</f>
        <v>Inactivo</v>
      </c>
      <c r="M398" s="24">
        <f>+VLOOKUP(ICETEX[[#This Row],[fecha_ultimo_movimiento]],UVR!A:B,2,0)</f>
        <v>348.05880000000002</v>
      </c>
      <c r="N398" s="24">
        <v>329</v>
      </c>
      <c r="O398" t="s">
        <v>3264</v>
      </c>
    </row>
    <row r="399" spans="1:15" ht="15" thickBot="1">
      <c r="A399" s="6">
        <v>398</v>
      </c>
      <c r="B399" s="1" t="s">
        <v>1378</v>
      </c>
      <c r="C399" s="1" t="s">
        <v>1379</v>
      </c>
      <c r="D399" s="2">
        <v>56009233</v>
      </c>
      <c r="E399" s="1" t="s">
        <v>45</v>
      </c>
      <c r="F399" s="25">
        <v>138210.93</v>
      </c>
      <c r="G399" s="4">
        <v>44587</v>
      </c>
      <c r="H399" s="4">
        <v>42762</v>
      </c>
      <c r="I399" s="1" t="s">
        <v>1209</v>
      </c>
      <c r="J399" s="7" t="s">
        <v>1380</v>
      </c>
      <c r="K399" s="17">
        <v>1250</v>
      </c>
      <c r="L399" t="str">
        <f ca="1">+IF(TODAY()-ICETEX[[#This Row],[fecha_ultimo_movimiento]]&gt;360,"Inactivo","Activo")</f>
        <v>Inactivo</v>
      </c>
      <c r="M399" s="24">
        <f>+VLOOKUP(ICETEX[[#This Row],[fecha_ultimo_movimiento]],UVR!A:B,2,0)</f>
        <v>290.06420000000003</v>
      </c>
      <c r="N399" s="24">
        <v>476</v>
      </c>
      <c r="O399" t="s">
        <v>3264</v>
      </c>
    </row>
    <row r="400" spans="1:15" ht="15" thickBot="1">
      <c r="A400" s="6">
        <v>399</v>
      </c>
      <c r="B400" s="1" t="s">
        <v>1381</v>
      </c>
      <c r="C400" s="1" t="s">
        <v>1382</v>
      </c>
      <c r="D400" s="2">
        <v>31309385</v>
      </c>
      <c r="E400" s="1" t="s">
        <v>45</v>
      </c>
      <c r="F400" s="25">
        <v>32967.99</v>
      </c>
      <c r="G400" s="4">
        <v>45273</v>
      </c>
      <c r="H400" s="4">
        <v>42891</v>
      </c>
      <c r="I400" s="1" t="s">
        <v>88</v>
      </c>
      <c r="J400" s="7" t="s">
        <v>1383</v>
      </c>
      <c r="K400" s="17">
        <v>564</v>
      </c>
      <c r="L400" t="str">
        <f ca="1">+IF(TODAY()-ICETEX[[#This Row],[fecha_ultimo_movimiento]]&gt;360,"Inactivo","Activo")</f>
        <v>Inactivo</v>
      </c>
      <c r="M400" s="24">
        <f>+VLOOKUP(ICETEX[[#This Row],[fecha_ultimo_movimiento]],UVR!A:B,2,0)</f>
        <v>356.90780000000001</v>
      </c>
      <c r="N400" s="24">
        <v>92</v>
      </c>
      <c r="O400" t="s">
        <v>3265</v>
      </c>
    </row>
    <row r="401" spans="1:15" ht="15" thickBot="1">
      <c r="A401" s="6">
        <v>400</v>
      </c>
      <c r="B401" s="1" t="s">
        <v>1384</v>
      </c>
      <c r="C401" s="1" t="s">
        <v>1385</v>
      </c>
      <c r="D401" s="2">
        <v>113024177</v>
      </c>
      <c r="E401" s="1" t="s">
        <v>45</v>
      </c>
      <c r="F401" s="25">
        <v>187844.62</v>
      </c>
      <c r="G401" s="4">
        <v>44517</v>
      </c>
      <c r="H401" s="4">
        <v>42632</v>
      </c>
      <c r="I401" s="1" t="s">
        <v>1148</v>
      </c>
      <c r="J401" s="7" t="s">
        <v>1386</v>
      </c>
      <c r="K401" s="17">
        <v>1320</v>
      </c>
      <c r="L401" t="str">
        <f ca="1">+IF(TODAY()-ICETEX[[#This Row],[fecha_ultimo_movimiento]]&gt;360,"Inactivo","Activo")</f>
        <v>Inactivo</v>
      </c>
      <c r="M401" s="24">
        <f>+VLOOKUP(ICETEX[[#This Row],[fecha_ultimo_movimiento]],UVR!A:B,2,0)</f>
        <v>287.85019999999997</v>
      </c>
      <c r="N401" s="24">
        <v>653</v>
      </c>
      <c r="O401" t="s">
        <v>3264</v>
      </c>
    </row>
    <row r="402" spans="1:15" ht="15" thickBot="1">
      <c r="A402" s="6">
        <v>401</v>
      </c>
      <c r="B402" s="1" t="s">
        <v>1387</v>
      </c>
      <c r="C402" s="1" t="s">
        <v>1388</v>
      </c>
      <c r="D402" s="2">
        <v>42100272</v>
      </c>
      <c r="E402" s="1" t="s">
        <v>12</v>
      </c>
      <c r="F402" s="25">
        <v>112556.93</v>
      </c>
      <c r="G402" s="4">
        <v>43845</v>
      </c>
      <c r="H402" s="4">
        <v>42824</v>
      </c>
      <c r="I402" s="1" t="s">
        <v>131</v>
      </c>
      <c r="J402" s="7" t="s">
        <v>1389</v>
      </c>
      <c r="K402" s="17">
        <v>1992</v>
      </c>
      <c r="L402" t="str">
        <f ca="1">+IF(TODAY()-ICETEX[[#This Row],[fecha_ultimo_movimiento]]&gt;360,"Inactivo","Activo")</f>
        <v>Inactivo</v>
      </c>
      <c r="M402" s="24">
        <f>+VLOOKUP(ICETEX[[#This Row],[fecha_ultimo_movimiento]],UVR!A:B,2,0)</f>
        <v>270.8442</v>
      </c>
      <c r="N402" s="24">
        <v>416</v>
      </c>
      <c r="O402" t="s">
        <v>3264</v>
      </c>
    </row>
    <row r="403" spans="1:15" ht="15" thickBot="1">
      <c r="A403" s="6">
        <v>402</v>
      </c>
      <c r="B403" s="1" t="s">
        <v>1390</v>
      </c>
      <c r="C403" s="1" t="s">
        <v>1391</v>
      </c>
      <c r="D403" s="2">
        <v>122106455</v>
      </c>
      <c r="E403" s="1" t="s">
        <v>12</v>
      </c>
      <c r="F403" s="25">
        <v>131255.66</v>
      </c>
      <c r="G403" s="4">
        <v>44229</v>
      </c>
      <c r="H403" s="4">
        <v>43431</v>
      </c>
      <c r="I403" s="1" t="s">
        <v>1202</v>
      </c>
      <c r="J403" s="7" t="s">
        <v>1392</v>
      </c>
      <c r="K403" s="17">
        <v>1608</v>
      </c>
      <c r="L403" t="str">
        <f ca="1">+IF(TODAY()-ICETEX[[#This Row],[fecha_ultimo_movimiento]]&gt;360,"Inactivo","Activo")</f>
        <v>Inactivo</v>
      </c>
      <c r="M403" s="24">
        <f>+VLOOKUP(ICETEX[[#This Row],[fecha_ultimo_movimiento]],UVR!A:B,2,0)</f>
        <v>275.46890000000002</v>
      </c>
      <c r="N403" s="24">
        <v>476</v>
      </c>
      <c r="O403" t="s">
        <v>3264</v>
      </c>
    </row>
    <row r="404" spans="1:15" ht="15" thickBot="1">
      <c r="A404" s="6">
        <v>403</v>
      </c>
      <c r="B404" s="1" t="s">
        <v>1393</v>
      </c>
      <c r="C404" s="1" t="s">
        <v>1394</v>
      </c>
      <c r="D404" s="2">
        <v>62204006</v>
      </c>
      <c r="E404" s="1" t="s">
        <v>45</v>
      </c>
      <c r="F404" s="25">
        <v>24359.91</v>
      </c>
      <c r="G404" s="4">
        <v>44757</v>
      </c>
      <c r="H404" s="4">
        <v>42614</v>
      </c>
      <c r="I404" s="1" t="s">
        <v>1395</v>
      </c>
      <c r="J404" s="7" t="s">
        <v>1396</v>
      </c>
      <c r="K404" s="17">
        <v>1080</v>
      </c>
      <c r="L404" t="str">
        <f ca="1">+IF(TODAY()-ICETEX[[#This Row],[fecha_ultimo_movimiento]]&gt;360,"Inactivo","Activo")</f>
        <v>Inactivo</v>
      </c>
      <c r="M404" s="24">
        <f>+VLOOKUP(ICETEX[[#This Row],[fecha_ultimo_movimiento]],UVR!A:B,2,0)</f>
        <v>310.5247</v>
      </c>
      <c r="N404" s="24">
        <v>78</v>
      </c>
      <c r="O404" t="s">
        <v>3265</v>
      </c>
    </row>
    <row r="405" spans="1:15" ht="15" thickBot="1">
      <c r="A405" s="6">
        <v>404</v>
      </c>
      <c r="B405" s="1" t="s">
        <v>1397</v>
      </c>
      <c r="C405" s="1" t="s">
        <v>1398</v>
      </c>
      <c r="D405" s="2">
        <v>123202293</v>
      </c>
      <c r="E405" s="1" t="s">
        <v>45</v>
      </c>
      <c r="F405" s="25">
        <v>62451.4</v>
      </c>
      <c r="G405" s="4">
        <v>43972</v>
      </c>
      <c r="H405" s="4">
        <v>42499</v>
      </c>
      <c r="I405" s="1" t="s">
        <v>263</v>
      </c>
      <c r="J405" s="7" t="s">
        <v>1399</v>
      </c>
      <c r="K405" s="17">
        <v>1865</v>
      </c>
      <c r="L405" t="str">
        <f ca="1">+IF(TODAY()-ICETEX[[#This Row],[fecha_ultimo_movimiento]]&gt;360,"Inactivo","Activo")</f>
        <v>Inactivo</v>
      </c>
      <c r="M405" s="24">
        <f>+VLOOKUP(ICETEX[[#This Row],[fecha_ultimo_movimiento]],UVR!A:B,2,0)</f>
        <v>276.166</v>
      </c>
      <c r="N405" s="24">
        <v>226</v>
      </c>
      <c r="O405" t="s">
        <v>3265</v>
      </c>
    </row>
    <row r="406" spans="1:15" ht="15" thickBot="1">
      <c r="A406" s="6">
        <v>405</v>
      </c>
      <c r="B406" s="1" t="s">
        <v>1400</v>
      </c>
      <c r="C406" s="1" t="s">
        <v>1401</v>
      </c>
      <c r="D406" s="2">
        <v>63104215</v>
      </c>
      <c r="E406" s="1" t="s">
        <v>45</v>
      </c>
      <c r="F406" s="25">
        <v>69123.149999999994</v>
      </c>
      <c r="G406" s="4">
        <v>45690</v>
      </c>
      <c r="H406" s="4">
        <v>42484</v>
      </c>
      <c r="I406" s="1" t="s">
        <v>13</v>
      </c>
      <c r="J406" s="7" t="s">
        <v>405</v>
      </c>
      <c r="K406" s="17">
        <v>147</v>
      </c>
      <c r="L406" t="str">
        <f ca="1">+IF(TODAY()-ICETEX[[#This Row],[fecha_ultimo_movimiento]]&gt;360,"Inactivo","Activo")</f>
        <v>Activo</v>
      </c>
      <c r="M406" s="24">
        <f>+VLOOKUP(ICETEX[[#This Row],[fecha_ultimo_movimiento]],UVR!A:B,2,0)</f>
        <v>378.2749</v>
      </c>
      <c r="N406" s="24">
        <v>183</v>
      </c>
      <c r="O406" t="s">
        <v>3264</v>
      </c>
    </row>
    <row r="407" spans="1:15" ht="15" thickBot="1">
      <c r="A407" s="6">
        <v>406</v>
      </c>
      <c r="B407" s="1" t="s">
        <v>1402</v>
      </c>
      <c r="C407" s="1" t="s">
        <v>1403</v>
      </c>
      <c r="D407" s="2">
        <v>211470319</v>
      </c>
      <c r="E407" s="1" t="s">
        <v>12</v>
      </c>
      <c r="F407" s="25">
        <v>140291.95000000001</v>
      </c>
      <c r="G407" s="4">
        <v>43842</v>
      </c>
      <c r="H407" s="4">
        <v>43367</v>
      </c>
      <c r="I407" s="1" t="s">
        <v>13</v>
      </c>
      <c r="J407" s="7" t="s">
        <v>1404</v>
      </c>
      <c r="K407" s="17">
        <v>1995</v>
      </c>
      <c r="L407" t="str">
        <f ca="1">+IF(TODAY()-ICETEX[[#This Row],[fecha_ultimo_movimiento]]&gt;360,"Inactivo","Activo")</f>
        <v>Inactivo</v>
      </c>
      <c r="M407" s="24">
        <f>+VLOOKUP(ICETEX[[#This Row],[fecha_ultimo_movimiento]],UVR!A:B,2,0)</f>
        <v>270.81799999999998</v>
      </c>
      <c r="N407" s="24">
        <v>518</v>
      </c>
      <c r="O407" t="s">
        <v>3264</v>
      </c>
    </row>
    <row r="408" spans="1:15" ht="15" thickBot="1">
      <c r="A408" s="6">
        <v>407</v>
      </c>
      <c r="B408" s="1" t="s">
        <v>1405</v>
      </c>
      <c r="C408" s="1" t="s">
        <v>1406</v>
      </c>
      <c r="D408" s="2">
        <v>71923543</v>
      </c>
      <c r="E408" s="1" t="s">
        <v>12</v>
      </c>
      <c r="F408" s="25">
        <v>164466.43</v>
      </c>
      <c r="G408" s="4">
        <v>43877</v>
      </c>
      <c r="H408" s="4">
        <v>43121</v>
      </c>
      <c r="I408" s="1" t="s">
        <v>127</v>
      </c>
      <c r="J408" s="7" t="s">
        <v>1407</v>
      </c>
      <c r="K408" s="17">
        <v>1960</v>
      </c>
      <c r="L408" t="str">
        <f ca="1">+IF(TODAY()-ICETEX[[#This Row],[fecha_ultimo_movimiento]]&gt;360,"Inactivo","Activo")</f>
        <v>Inactivo</v>
      </c>
      <c r="M408" s="24">
        <f>+VLOOKUP(ICETEX[[#This Row],[fecha_ultimo_movimiento]],UVR!A:B,2,0)</f>
        <v>271.58760000000001</v>
      </c>
      <c r="N408" s="24">
        <v>606</v>
      </c>
      <c r="O408" t="s">
        <v>3264</v>
      </c>
    </row>
    <row r="409" spans="1:15" ht="15" thickBot="1">
      <c r="A409" s="6">
        <v>408</v>
      </c>
      <c r="B409" s="1" t="s">
        <v>1408</v>
      </c>
      <c r="C409" s="1" t="s">
        <v>1409</v>
      </c>
      <c r="D409" s="2">
        <v>104106583</v>
      </c>
      <c r="E409" s="1" t="s">
        <v>12</v>
      </c>
      <c r="F409" s="25">
        <v>95216.46</v>
      </c>
      <c r="G409" s="4">
        <v>43844</v>
      </c>
      <c r="H409" s="4">
        <v>42580</v>
      </c>
      <c r="I409" s="1" t="s">
        <v>1410</v>
      </c>
      <c r="J409" s="7" t="s">
        <v>1411</v>
      </c>
      <c r="K409" s="17">
        <v>1993</v>
      </c>
      <c r="L409" t="str">
        <f ca="1">+IF(TODAY()-ICETEX[[#This Row],[fecha_ultimo_movimiento]]&gt;360,"Inactivo","Activo")</f>
        <v>Inactivo</v>
      </c>
      <c r="M409" s="24">
        <f>+VLOOKUP(ICETEX[[#This Row],[fecha_ultimo_movimiento]],UVR!A:B,2,0)</f>
        <v>270.83539999999999</v>
      </c>
      <c r="N409" s="24">
        <v>352</v>
      </c>
      <c r="O409" t="s">
        <v>3264</v>
      </c>
    </row>
    <row r="410" spans="1:15" ht="15" thickBot="1">
      <c r="A410" s="6">
        <v>409</v>
      </c>
      <c r="B410" s="1" t="s">
        <v>1412</v>
      </c>
      <c r="C410" s="1" t="s">
        <v>1413</v>
      </c>
      <c r="D410" s="2">
        <v>111904231</v>
      </c>
      <c r="E410" s="1" t="s">
        <v>45</v>
      </c>
      <c r="F410" s="25">
        <v>91517.11</v>
      </c>
      <c r="G410" s="4">
        <v>44043</v>
      </c>
      <c r="H410" s="4">
        <v>43291</v>
      </c>
      <c r="I410" s="1" t="s">
        <v>503</v>
      </c>
      <c r="J410" s="7" t="s">
        <v>1414</v>
      </c>
      <c r="K410" s="17">
        <v>1794</v>
      </c>
      <c r="L410" t="str">
        <f ca="1">+IF(TODAY()-ICETEX[[#This Row],[fecha_ultimo_movimiento]]&gt;360,"Inactivo","Activo")</f>
        <v>Inactivo</v>
      </c>
      <c r="M410" s="24">
        <f>+VLOOKUP(ICETEX[[#This Row],[fecha_ultimo_movimiento]],UVR!A:B,2,0)</f>
        <v>275.09629999999999</v>
      </c>
      <c r="N410" s="24">
        <v>333</v>
      </c>
      <c r="O410" t="s">
        <v>3264</v>
      </c>
    </row>
    <row r="411" spans="1:15" ht="15" thickBot="1">
      <c r="A411" s="6">
        <v>410</v>
      </c>
      <c r="B411" s="1" t="s">
        <v>1415</v>
      </c>
      <c r="C411" s="1" t="s">
        <v>1416</v>
      </c>
      <c r="D411" s="2">
        <v>81001714</v>
      </c>
      <c r="E411" s="1" t="s">
        <v>45</v>
      </c>
      <c r="F411" s="25">
        <v>214916.24</v>
      </c>
      <c r="G411" s="4">
        <v>43954</v>
      </c>
      <c r="H411" s="4">
        <v>42972</v>
      </c>
      <c r="I411" s="1" t="s">
        <v>127</v>
      </c>
      <c r="J411" s="7" t="s">
        <v>1417</v>
      </c>
      <c r="K411" s="17">
        <v>1883</v>
      </c>
      <c r="L411" t="str">
        <f ca="1">+IF(TODAY()-ICETEX[[#This Row],[fecha_ultimo_movimiento]]&gt;360,"Inactivo","Activo")</f>
        <v>Inactivo</v>
      </c>
      <c r="M411" s="24">
        <f>+VLOOKUP(ICETEX[[#This Row],[fecha_ultimo_movimiento]],UVR!A:B,2,0)</f>
        <v>275.45370000000003</v>
      </c>
      <c r="N411" s="24">
        <v>780</v>
      </c>
      <c r="O411" t="s">
        <v>3264</v>
      </c>
    </row>
    <row r="412" spans="1:15" ht="15" thickBot="1">
      <c r="A412" s="6">
        <v>411</v>
      </c>
      <c r="B412" s="1" t="s">
        <v>1418</v>
      </c>
      <c r="C412" s="1" t="s">
        <v>1419</v>
      </c>
      <c r="D412" s="2">
        <v>102100992</v>
      </c>
      <c r="E412" s="1" t="s">
        <v>12</v>
      </c>
      <c r="F412" s="25">
        <v>123388.39</v>
      </c>
      <c r="G412" s="4">
        <v>44645</v>
      </c>
      <c r="H412" s="4">
        <v>43286</v>
      </c>
      <c r="I412" s="1" t="s">
        <v>471</v>
      </c>
      <c r="J412" s="7" t="s">
        <v>1420</v>
      </c>
      <c r="K412" s="17">
        <v>1192</v>
      </c>
      <c r="L412" t="str">
        <f ca="1">+IF(TODAY()-ICETEX[[#This Row],[fecha_ultimo_movimiento]]&gt;360,"Inactivo","Activo")</f>
        <v>Inactivo</v>
      </c>
      <c r="M412" s="24">
        <f>+VLOOKUP(ICETEX[[#This Row],[fecha_ultimo_movimiento]],UVR!A:B,2,0)</f>
        <v>297.84480000000002</v>
      </c>
      <c r="N412" s="24">
        <v>414</v>
      </c>
      <c r="O412" t="s">
        <v>3264</v>
      </c>
    </row>
    <row r="413" spans="1:15" ht="15" thickBot="1">
      <c r="A413" s="6">
        <v>412</v>
      </c>
      <c r="B413" s="1" t="s">
        <v>1421</v>
      </c>
      <c r="C413" s="1" t="s">
        <v>1422</v>
      </c>
      <c r="D413" s="2">
        <v>53207122</v>
      </c>
      <c r="E413" s="1" t="s">
        <v>12</v>
      </c>
      <c r="F413" s="25">
        <v>194388.25</v>
      </c>
      <c r="G413" s="4">
        <v>44081</v>
      </c>
      <c r="H413" s="4">
        <v>42614</v>
      </c>
      <c r="I413" s="1" t="s">
        <v>17</v>
      </c>
      <c r="J413" s="7" t="s">
        <v>1423</v>
      </c>
      <c r="K413" s="17">
        <v>1756</v>
      </c>
      <c r="L413" t="str">
        <f ca="1">+IF(TODAY()-ICETEX[[#This Row],[fecha_ultimo_movimiento]]&gt;360,"Inactivo","Activo")</f>
        <v>Inactivo</v>
      </c>
      <c r="M413" s="24">
        <f>+VLOOKUP(ICETEX[[#This Row],[fecha_ultimo_movimiento]],UVR!A:B,2,0)</f>
        <v>274.58999999999997</v>
      </c>
      <c r="N413" s="24">
        <v>708</v>
      </c>
      <c r="O413" t="s">
        <v>3264</v>
      </c>
    </row>
    <row r="414" spans="1:15" ht="15" thickBot="1">
      <c r="A414" s="6">
        <v>413</v>
      </c>
      <c r="B414" s="1" t="s">
        <v>1424</v>
      </c>
      <c r="C414" s="1" t="s">
        <v>1425</v>
      </c>
      <c r="D414" s="2">
        <v>61292433</v>
      </c>
      <c r="E414" s="1" t="s">
        <v>45</v>
      </c>
      <c r="F414" s="25">
        <v>118884.36</v>
      </c>
      <c r="G414" s="4">
        <v>44074</v>
      </c>
      <c r="H414" s="4">
        <v>42713</v>
      </c>
      <c r="I414" s="1" t="s">
        <v>401</v>
      </c>
      <c r="J414" s="7" t="s">
        <v>1426</v>
      </c>
      <c r="K414" s="17">
        <v>1763</v>
      </c>
      <c r="L414" t="str">
        <f ca="1">+IF(TODAY()-ICETEX[[#This Row],[fecha_ultimo_movimiento]]&gt;360,"Inactivo","Activo")</f>
        <v>Inactivo</v>
      </c>
      <c r="M414" s="24">
        <f>+VLOOKUP(ICETEX[[#This Row],[fecha_ultimo_movimiento]],UVR!A:B,2,0)</f>
        <v>274.58999999999997</v>
      </c>
      <c r="N414" s="24">
        <v>433</v>
      </c>
      <c r="O414" t="s">
        <v>3264</v>
      </c>
    </row>
    <row r="415" spans="1:15" ht="15" thickBot="1">
      <c r="A415" s="6">
        <v>414</v>
      </c>
      <c r="B415" s="1" t="s">
        <v>1427</v>
      </c>
      <c r="C415" s="1" t="s">
        <v>1428</v>
      </c>
      <c r="D415" s="2">
        <v>73902287</v>
      </c>
      <c r="E415" s="1" t="s">
        <v>45</v>
      </c>
      <c r="F415" s="25">
        <v>89523.7</v>
      </c>
      <c r="G415" s="4">
        <v>45708</v>
      </c>
      <c r="H415" s="4">
        <v>43435</v>
      </c>
      <c r="I415" s="1" t="s">
        <v>821</v>
      </c>
      <c r="J415" s="7" t="s">
        <v>1429</v>
      </c>
      <c r="K415" s="17">
        <v>129</v>
      </c>
      <c r="L415" t="str">
        <f ca="1">+IF(TODAY()-ICETEX[[#This Row],[fecha_ultimo_movimiento]]&gt;360,"Inactivo","Activo")</f>
        <v>Activo</v>
      </c>
      <c r="M415" s="24">
        <f>+VLOOKUP(ICETEX[[#This Row],[fecha_ultimo_movimiento]],UVR!A:B,2,0)</f>
        <v>379.63729999999998</v>
      </c>
      <c r="N415" s="24">
        <v>236</v>
      </c>
      <c r="O415" t="s">
        <v>3264</v>
      </c>
    </row>
    <row r="416" spans="1:15" ht="15" thickBot="1">
      <c r="A416" s="6">
        <v>415</v>
      </c>
      <c r="B416" s="1" t="s">
        <v>1430</v>
      </c>
      <c r="C416" s="1" t="s">
        <v>1431</v>
      </c>
      <c r="D416" s="2">
        <v>72401585</v>
      </c>
      <c r="E416" s="1" t="s">
        <v>45</v>
      </c>
      <c r="F416" s="25">
        <v>42655.77</v>
      </c>
      <c r="G416" s="4">
        <v>45155</v>
      </c>
      <c r="H416" s="4">
        <v>42859</v>
      </c>
      <c r="I416" s="1" t="s">
        <v>538</v>
      </c>
      <c r="J416" s="7" t="s">
        <v>1432</v>
      </c>
      <c r="K416" s="17">
        <v>682</v>
      </c>
      <c r="L416" t="str">
        <f ca="1">+IF(TODAY()-ICETEX[[#This Row],[fecha_ultimo_movimiento]]&gt;360,"Inactivo","Activo")</f>
        <v>Inactivo</v>
      </c>
      <c r="M416" s="24">
        <f>+VLOOKUP(ICETEX[[#This Row],[fecha_ultimo_movimiento]],UVR!A:B,2,0)</f>
        <v>350.06540000000001</v>
      </c>
      <c r="N416" s="24">
        <v>122</v>
      </c>
      <c r="O416" t="s">
        <v>3265</v>
      </c>
    </row>
    <row r="417" spans="1:15" ht="15" thickBot="1">
      <c r="A417" s="6">
        <v>416</v>
      </c>
      <c r="B417" s="1" t="s">
        <v>1433</v>
      </c>
      <c r="C417" s="1" t="s">
        <v>1434</v>
      </c>
      <c r="D417" s="2">
        <v>104106583</v>
      </c>
      <c r="E417" s="1" t="s">
        <v>45</v>
      </c>
      <c r="F417" s="25">
        <v>82345.929999999993</v>
      </c>
      <c r="G417" s="4">
        <v>45012</v>
      </c>
      <c r="H417" s="4">
        <v>43199</v>
      </c>
      <c r="I417" s="1" t="s">
        <v>1410</v>
      </c>
      <c r="J417" s="7" t="s">
        <v>1435</v>
      </c>
      <c r="K417" s="17">
        <v>825</v>
      </c>
      <c r="L417" t="str">
        <f ca="1">+IF(TODAY()-ICETEX[[#This Row],[fecha_ultimo_movimiento]]&gt;360,"Inactivo","Activo")</f>
        <v>Inactivo</v>
      </c>
      <c r="M417" s="24">
        <f>+VLOOKUP(ICETEX[[#This Row],[fecha_ultimo_movimiento]],UVR!A:B,2,0)</f>
        <v>337.71629999999999</v>
      </c>
      <c r="N417" s="24">
        <v>244</v>
      </c>
      <c r="O417" t="s">
        <v>3265</v>
      </c>
    </row>
    <row r="418" spans="1:15" ht="15" thickBot="1">
      <c r="A418" s="6">
        <v>417</v>
      </c>
      <c r="B418" s="1" t="s">
        <v>1436</v>
      </c>
      <c r="C418" s="1" t="s">
        <v>1437</v>
      </c>
      <c r="D418" s="2">
        <v>81210398</v>
      </c>
      <c r="E418" s="1" t="s">
        <v>45</v>
      </c>
      <c r="F418" s="25">
        <v>41448.019999999997</v>
      </c>
      <c r="G418" s="4">
        <v>45110</v>
      </c>
      <c r="H418" s="4">
        <v>42950</v>
      </c>
      <c r="I418" s="1" t="s">
        <v>1438</v>
      </c>
      <c r="J418" s="7" t="s">
        <v>1439</v>
      </c>
      <c r="K418" s="17">
        <v>727</v>
      </c>
      <c r="L418" t="str">
        <f ca="1">+IF(TODAY()-ICETEX[[#This Row],[fecha_ultimo_movimiento]]&gt;360,"Inactivo","Activo")</f>
        <v>Inactivo</v>
      </c>
      <c r="M418" s="24">
        <f>+VLOOKUP(ICETEX[[#This Row],[fecha_ultimo_movimiento]],UVR!A:B,2,0)</f>
        <v>348.30779999999999</v>
      </c>
      <c r="N418" s="24">
        <v>119</v>
      </c>
      <c r="O418" t="s">
        <v>3265</v>
      </c>
    </row>
    <row r="419" spans="1:15" ht="15" thickBot="1">
      <c r="A419" s="6">
        <v>418</v>
      </c>
      <c r="B419" s="1" t="s">
        <v>1440</v>
      </c>
      <c r="C419" s="1" t="s">
        <v>1441</v>
      </c>
      <c r="D419" s="2">
        <v>103103354</v>
      </c>
      <c r="E419" s="1" t="s">
        <v>45</v>
      </c>
      <c r="F419" s="25">
        <v>66595.75</v>
      </c>
      <c r="G419" s="4">
        <v>44235</v>
      </c>
      <c r="H419" s="4">
        <v>43279</v>
      </c>
      <c r="I419" s="1" t="s">
        <v>1442</v>
      </c>
      <c r="J419" s="7" t="s">
        <v>1443</v>
      </c>
      <c r="K419" s="17">
        <v>1602</v>
      </c>
      <c r="L419" t="str">
        <f ca="1">+IF(TODAY()-ICETEX[[#This Row],[fecha_ultimo_movimiento]]&gt;360,"Inactivo","Activo")</f>
        <v>Inactivo</v>
      </c>
      <c r="M419" s="24">
        <f>+VLOOKUP(ICETEX[[#This Row],[fecha_ultimo_movimiento]],UVR!A:B,2,0)</f>
        <v>275.6712</v>
      </c>
      <c r="N419" s="24">
        <v>242</v>
      </c>
      <c r="O419" t="s">
        <v>3265</v>
      </c>
    </row>
    <row r="420" spans="1:15" ht="15" thickBot="1">
      <c r="A420" s="6">
        <v>419</v>
      </c>
      <c r="B420" s="1" t="s">
        <v>1444</v>
      </c>
      <c r="C420" s="1" t="s">
        <v>1445</v>
      </c>
      <c r="D420" s="2">
        <v>111901467</v>
      </c>
      <c r="E420" s="1" t="s">
        <v>12</v>
      </c>
      <c r="F420" s="25">
        <v>137213.87</v>
      </c>
      <c r="G420" s="4">
        <v>45761</v>
      </c>
      <c r="H420" s="4">
        <v>43398</v>
      </c>
      <c r="I420" s="1" t="s">
        <v>1446</v>
      </c>
      <c r="J420" s="7" t="s">
        <v>1447</v>
      </c>
      <c r="K420" s="17">
        <v>76</v>
      </c>
      <c r="L420" t="str">
        <f ca="1">+IF(TODAY()-ICETEX[[#This Row],[fecha_ultimo_movimiento]]&gt;360,"Inactivo","Activo")</f>
        <v>Activo</v>
      </c>
      <c r="M420" s="24">
        <f>+VLOOKUP(ICETEX[[#This Row],[fecha_ultimo_movimiento]],UVR!A:B,2,0)</f>
        <v>386.786</v>
      </c>
      <c r="N420" s="24">
        <v>355</v>
      </c>
      <c r="O420" t="s">
        <v>3264</v>
      </c>
    </row>
    <row r="421" spans="1:15" ht="15" thickBot="1">
      <c r="A421" s="6">
        <v>420</v>
      </c>
      <c r="B421" s="1" t="s">
        <v>1448</v>
      </c>
      <c r="C421" s="1" t="s">
        <v>1449</v>
      </c>
      <c r="D421" s="2">
        <v>21310326</v>
      </c>
      <c r="E421" s="1" t="s">
        <v>12</v>
      </c>
      <c r="F421" s="25">
        <v>209453.12</v>
      </c>
      <c r="G421" s="4">
        <v>45743</v>
      </c>
      <c r="H421" s="4">
        <v>42377</v>
      </c>
      <c r="I421" s="1" t="s">
        <v>1182</v>
      </c>
      <c r="J421" s="7" t="s">
        <v>1450</v>
      </c>
      <c r="K421" s="17">
        <v>94</v>
      </c>
      <c r="L421" t="str">
        <f ca="1">+IF(TODAY()-ICETEX[[#This Row],[fecha_ultimo_movimiento]]&gt;360,"Inactivo","Activo")</f>
        <v>Activo</v>
      </c>
      <c r="M421" s="24">
        <f>+VLOOKUP(ICETEX[[#This Row],[fecha_ultimo_movimiento]],UVR!A:B,2,0)</f>
        <v>384.24860000000001</v>
      </c>
      <c r="N421" s="24">
        <v>545</v>
      </c>
      <c r="O421" t="s">
        <v>3264</v>
      </c>
    </row>
    <row r="422" spans="1:15" ht="15" thickBot="1">
      <c r="A422" s="6">
        <v>421</v>
      </c>
      <c r="B422" s="1" t="s">
        <v>1110</v>
      </c>
      <c r="C422" s="1" t="s">
        <v>1451</v>
      </c>
      <c r="D422" s="2">
        <v>111321270</v>
      </c>
      <c r="E422" s="1" t="s">
        <v>45</v>
      </c>
      <c r="F422" s="25">
        <v>116403.52</v>
      </c>
      <c r="G422" s="4">
        <v>45261</v>
      </c>
      <c r="H422" s="4">
        <v>43214</v>
      </c>
      <c r="I422" s="1" t="s">
        <v>270</v>
      </c>
      <c r="J422" s="7" t="s">
        <v>1452</v>
      </c>
      <c r="K422" s="17">
        <v>576</v>
      </c>
      <c r="L422" t="str">
        <f ca="1">+IF(TODAY()-ICETEX[[#This Row],[fecha_ultimo_movimiento]]&gt;360,"Inactivo","Activo")</f>
        <v>Inactivo</v>
      </c>
      <c r="M422" s="24">
        <f>+VLOOKUP(ICETEX[[#This Row],[fecha_ultimo_movimiento]],UVR!A:B,2,0)</f>
        <v>356.55149999999998</v>
      </c>
      <c r="N422" s="24">
        <v>326</v>
      </c>
      <c r="O422" t="s">
        <v>3264</v>
      </c>
    </row>
    <row r="423" spans="1:15" ht="15" thickBot="1">
      <c r="A423" s="6">
        <v>422</v>
      </c>
      <c r="B423" s="1" t="s">
        <v>1453</v>
      </c>
      <c r="C423" s="1" t="s">
        <v>1454</v>
      </c>
      <c r="D423" s="2">
        <v>55000657</v>
      </c>
      <c r="E423" s="1" t="s">
        <v>12</v>
      </c>
      <c r="F423" s="25">
        <v>94633.3</v>
      </c>
      <c r="G423" s="4">
        <v>45265</v>
      </c>
      <c r="H423" s="4">
        <v>43267</v>
      </c>
      <c r="I423" s="1" t="s">
        <v>147</v>
      </c>
      <c r="J423" s="7" t="s">
        <v>1455</v>
      </c>
      <c r="K423" s="17">
        <v>572</v>
      </c>
      <c r="L423" t="str">
        <f ca="1">+IF(TODAY()-ICETEX[[#This Row],[fecha_ultimo_movimiento]]&gt;360,"Inactivo","Activo")</f>
        <v>Inactivo</v>
      </c>
      <c r="M423" s="24">
        <f>+VLOOKUP(ICETEX[[#This Row],[fecha_ultimo_movimiento]],UVR!A:B,2,0)</f>
        <v>356.67020000000002</v>
      </c>
      <c r="N423" s="24">
        <v>265</v>
      </c>
      <c r="O423" t="s">
        <v>3265</v>
      </c>
    </row>
    <row r="424" spans="1:15" ht="15" thickBot="1">
      <c r="A424" s="6">
        <v>423</v>
      </c>
      <c r="B424" s="1" t="s">
        <v>1456</v>
      </c>
      <c r="C424" s="1" t="s">
        <v>1457</v>
      </c>
      <c r="D424" s="2">
        <v>81001387</v>
      </c>
      <c r="E424" s="1" t="s">
        <v>45</v>
      </c>
      <c r="F424" s="25">
        <v>207182.04</v>
      </c>
      <c r="G424" s="4">
        <v>44895</v>
      </c>
      <c r="H424" s="4">
        <v>43139</v>
      </c>
      <c r="I424" s="1" t="s">
        <v>25</v>
      </c>
      <c r="J424" s="7" t="s">
        <v>1458</v>
      </c>
      <c r="K424" s="17">
        <v>942</v>
      </c>
      <c r="L424" t="str">
        <f ca="1">+IF(TODAY()-ICETEX[[#This Row],[fecha_ultimo_movimiento]]&gt;360,"Inactivo","Activo")</f>
        <v>Inactivo</v>
      </c>
      <c r="M424" s="24">
        <f>+VLOOKUP(ICETEX[[#This Row],[fecha_ultimo_movimiento]],UVR!A:B,2,0)</f>
        <v>321.95460000000003</v>
      </c>
      <c r="N424" s="24">
        <v>644</v>
      </c>
      <c r="O424" t="s">
        <v>3264</v>
      </c>
    </row>
    <row r="425" spans="1:15" ht="15" thickBot="1">
      <c r="A425" s="6">
        <v>424</v>
      </c>
      <c r="B425" s="1" t="s">
        <v>1459</v>
      </c>
      <c r="C425" s="1" t="s">
        <v>1460</v>
      </c>
      <c r="D425" s="2">
        <v>53274168</v>
      </c>
      <c r="E425" s="1" t="s">
        <v>45</v>
      </c>
      <c r="F425" s="25">
        <v>156401.57</v>
      </c>
      <c r="G425" s="4">
        <v>45083</v>
      </c>
      <c r="H425" s="4">
        <v>43005</v>
      </c>
      <c r="I425" s="1" t="s">
        <v>526</v>
      </c>
      <c r="J425" s="7" t="s">
        <v>1461</v>
      </c>
      <c r="K425" s="17">
        <v>754</v>
      </c>
      <c r="L425" t="str">
        <f ca="1">+IF(TODAY()-ICETEX[[#This Row],[fecha_ultimo_movimiento]]&gt;360,"Inactivo","Activo")</f>
        <v>Inactivo</v>
      </c>
      <c r="M425" s="24">
        <f>+VLOOKUP(ICETEX[[#This Row],[fecha_ultimo_movimiento]],UVR!A:B,2,0)</f>
        <v>346.62950000000001</v>
      </c>
      <c r="N425" s="24">
        <v>451</v>
      </c>
      <c r="O425" t="s">
        <v>3264</v>
      </c>
    </row>
    <row r="426" spans="1:15" ht="15" thickBot="1">
      <c r="A426" s="6">
        <v>425</v>
      </c>
      <c r="B426" s="1" t="s">
        <v>1102</v>
      </c>
      <c r="C426" s="1" t="s">
        <v>1462</v>
      </c>
      <c r="D426" s="2">
        <v>86500634</v>
      </c>
      <c r="E426" s="1" t="s">
        <v>45</v>
      </c>
      <c r="F426" s="25">
        <v>164982.26999999999</v>
      </c>
      <c r="G426" s="4">
        <v>44303</v>
      </c>
      <c r="H426" s="4">
        <v>43177</v>
      </c>
      <c r="I426" s="1" t="s">
        <v>1463</v>
      </c>
      <c r="J426" s="7" t="s">
        <v>1464</v>
      </c>
      <c r="K426" s="17">
        <v>1534</v>
      </c>
      <c r="L426" t="str">
        <f ca="1">+IF(TODAY()-ICETEX[[#This Row],[fecha_ultimo_movimiento]]&gt;360,"Inactivo","Activo")</f>
        <v>Inactivo</v>
      </c>
      <c r="M426" s="24">
        <f>+VLOOKUP(ICETEX[[#This Row],[fecha_ultimo_movimiento]],UVR!A:B,2,0)</f>
        <v>278.90620000000001</v>
      </c>
      <c r="N426" s="24">
        <v>592</v>
      </c>
      <c r="O426" t="s">
        <v>3264</v>
      </c>
    </row>
    <row r="427" spans="1:15" ht="15" thickBot="1">
      <c r="A427" s="6">
        <v>426</v>
      </c>
      <c r="B427" s="1" t="s">
        <v>1465</v>
      </c>
      <c r="C427" s="1" t="s">
        <v>1466</v>
      </c>
      <c r="D427" s="2">
        <v>262285184</v>
      </c>
      <c r="E427" s="1" t="s">
        <v>12</v>
      </c>
      <c r="F427" s="25">
        <v>123141.78</v>
      </c>
      <c r="G427" s="4">
        <v>44166</v>
      </c>
      <c r="H427" s="4">
        <v>42562</v>
      </c>
      <c r="I427" s="1" t="s">
        <v>147</v>
      </c>
      <c r="J427" s="7" t="s">
        <v>1467</v>
      </c>
      <c r="K427" s="17">
        <v>1671</v>
      </c>
      <c r="L427" t="str">
        <f ca="1">+IF(TODAY()-ICETEX[[#This Row],[fecha_ultimo_movimiento]]&gt;360,"Inactivo","Activo")</f>
        <v>Inactivo</v>
      </c>
      <c r="M427" s="24">
        <f>+VLOOKUP(ICETEX[[#This Row],[fecha_ultimo_movimiento]],UVR!A:B,2,0)</f>
        <v>275.35289999999998</v>
      </c>
      <c r="N427" s="24">
        <v>447</v>
      </c>
      <c r="O427" t="s">
        <v>3264</v>
      </c>
    </row>
    <row r="428" spans="1:15" ht="15" thickBot="1">
      <c r="A428" s="6">
        <v>427</v>
      </c>
      <c r="B428" s="1" t="s">
        <v>64</v>
      </c>
      <c r="C428" s="1" t="s">
        <v>1468</v>
      </c>
      <c r="D428" s="2">
        <v>82900429</v>
      </c>
      <c r="E428" s="1" t="s">
        <v>45</v>
      </c>
      <c r="F428" s="25">
        <v>156808.69</v>
      </c>
      <c r="G428" s="4">
        <v>44648</v>
      </c>
      <c r="H428" s="4">
        <v>43273</v>
      </c>
      <c r="I428" s="1" t="s">
        <v>13</v>
      </c>
      <c r="J428" s="7" t="s">
        <v>1469</v>
      </c>
      <c r="K428" s="17">
        <v>1189</v>
      </c>
      <c r="L428" t="str">
        <f ca="1">+IF(TODAY()-ICETEX[[#This Row],[fecha_ultimo_movimiento]]&gt;360,"Inactivo","Activo")</f>
        <v>Inactivo</v>
      </c>
      <c r="M428" s="24">
        <f>+VLOOKUP(ICETEX[[#This Row],[fecha_ultimo_movimiento]],UVR!A:B,2,0)</f>
        <v>298.31119999999999</v>
      </c>
      <c r="N428" s="24">
        <v>526</v>
      </c>
      <c r="O428" t="s">
        <v>3264</v>
      </c>
    </row>
    <row r="429" spans="1:15" ht="15" thickBot="1">
      <c r="A429" s="6">
        <v>428</v>
      </c>
      <c r="B429" s="1" t="s">
        <v>1470</v>
      </c>
      <c r="C429" s="1" t="s">
        <v>1471</v>
      </c>
      <c r="D429" s="2">
        <v>67009390</v>
      </c>
      <c r="E429" s="1" t="s">
        <v>45</v>
      </c>
      <c r="F429" s="25">
        <v>140175.39000000001</v>
      </c>
      <c r="G429" s="4">
        <v>44848</v>
      </c>
      <c r="H429" s="4">
        <v>43404</v>
      </c>
      <c r="I429" s="1" t="s">
        <v>143</v>
      </c>
      <c r="J429" s="7" t="s">
        <v>1472</v>
      </c>
      <c r="K429" s="17">
        <v>989</v>
      </c>
      <c r="L429" t="str">
        <f ca="1">+IF(TODAY()-ICETEX[[#This Row],[fecha_ultimo_movimiento]]&gt;360,"Inactivo","Activo")</f>
        <v>Inactivo</v>
      </c>
      <c r="M429" s="24">
        <f>+VLOOKUP(ICETEX[[#This Row],[fecha_ultimo_movimiento]],UVR!A:B,2,0)</f>
        <v>317.73829999999998</v>
      </c>
      <c r="N429" s="24">
        <v>441</v>
      </c>
      <c r="O429" t="s">
        <v>3264</v>
      </c>
    </row>
    <row r="430" spans="1:15" ht="15" thickBot="1">
      <c r="A430" s="6">
        <v>429</v>
      </c>
      <c r="B430" s="1" t="s">
        <v>1473</v>
      </c>
      <c r="C430" s="1" t="s">
        <v>1474</v>
      </c>
      <c r="D430" s="2">
        <v>62200783</v>
      </c>
      <c r="E430" s="1" t="s">
        <v>45</v>
      </c>
      <c r="F430" s="25">
        <v>87641.34</v>
      </c>
      <c r="G430" s="4">
        <v>45532</v>
      </c>
      <c r="H430" s="4">
        <v>42812</v>
      </c>
      <c r="I430" s="1" t="s">
        <v>25</v>
      </c>
      <c r="J430" s="7" t="s">
        <v>1475</v>
      </c>
      <c r="K430" s="17">
        <v>305</v>
      </c>
      <c r="L430" t="str">
        <f ca="1">+IF(TODAY()-ICETEX[[#This Row],[fecha_ultimo_movimiento]]&gt;360,"Inactivo","Activo")</f>
        <v>Activo</v>
      </c>
      <c r="M430" s="24">
        <f>+VLOOKUP(ICETEX[[#This Row],[fecha_ultimo_movimiento]],UVR!A:B,2,0)</f>
        <v>375.40429999999998</v>
      </c>
      <c r="N430" s="24">
        <v>233</v>
      </c>
      <c r="O430" t="s">
        <v>3264</v>
      </c>
    </row>
    <row r="431" spans="1:15" ht="15" thickBot="1">
      <c r="A431" s="6">
        <v>430</v>
      </c>
      <c r="B431" s="1" t="s">
        <v>1476</v>
      </c>
      <c r="C431" s="1" t="s">
        <v>1477</v>
      </c>
      <c r="D431" s="2">
        <v>231372387</v>
      </c>
      <c r="E431" s="1" t="s">
        <v>45</v>
      </c>
      <c r="F431" s="25">
        <v>218738.26</v>
      </c>
      <c r="G431" s="4">
        <v>44944</v>
      </c>
      <c r="H431" s="4">
        <v>42925</v>
      </c>
      <c r="I431" s="1" t="s">
        <v>1478</v>
      </c>
      <c r="J431" s="7" t="s">
        <v>1479</v>
      </c>
      <c r="K431" s="17">
        <v>893</v>
      </c>
      <c r="L431" t="str">
        <f ca="1">+IF(TODAY()-ICETEX[[#This Row],[fecha_ultimo_movimiento]]&gt;360,"Inactivo","Activo")</f>
        <v>Inactivo</v>
      </c>
      <c r="M431" s="24">
        <f>+VLOOKUP(ICETEX[[#This Row],[fecha_ultimo_movimiento]],UVR!A:B,2,0)</f>
        <v>325.99439999999998</v>
      </c>
      <c r="N431" s="24">
        <v>671</v>
      </c>
      <c r="O431" t="s">
        <v>3264</v>
      </c>
    </row>
    <row r="432" spans="1:15" ht="15" thickBot="1">
      <c r="A432" s="6">
        <v>431</v>
      </c>
      <c r="B432" s="1" t="s">
        <v>1480</v>
      </c>
      <c r="C432" s="1" t="s">
        <v>1481</v>
      </c>
      <c r="D432" s="2">
        <v>65201611</v>
      </c>
      <c r="E432" s="1" t="s">
        <v>45</v>
      </c>
      <c r="F432" s="25">
        <v>90985.83</v>
      </c>
      <c r="G432" s="4">
        <v>44055</v>
      </c>
      <c r="H432" s="4">
        <v>43281</v>
      </c>
      <c r="I432" s="1" t="s">
        <v>1482</v>
      </c>
      <c r="J432" s="7" t="s">
        <v>1483</v>
      </c>
      <c r="K432" s="17">
        <v>1782</v>
      </c>
      <c r="L432" t="str">
        <f ca="1">+IF(TODAY()-ICETEX[[#This Row],[fecha_ultimo_movimiento]]&gt;360,"Inactivo","Activo")</f>
        <v>Inactivo</v>
      </c>
      <c r="M432" s="24">
        <f>+VLOOKUP(ICETEX[[#This Row],[fecha_ultimo_movimiento]],UVR!A:B,2,0)</f>
        <v>274.69119999999998</v>
      </c>
      <c r="N432" s="24">
        <v>331</v>
      </c>
      <c r="O432" t="s">
        <v>3264</v>
      </c>
    </row>
    <row r="433" spans="1:15" ht="26.5" thickBot="1">
      <c r="A433" s="6">
        <v>432</v>
      </c>
      <c r="B433" s="1" t="s">
        <v>1484</v>
      </c>
      <c r="C433" s="1" t="s">
        <v>1485</v>
      </c>
      <c r="D433" s="2">
        <v>113125380</v>
      </c>
      <c r="E433" s="1" t="s">
        <v>12</v>
      </c>
      <c r="F433" s="25">
        <v>141085.17000000001</v>
      </c>
      <c r="G433" s="4">
        <v>45181</v>
      </c>
      <c r="H433" s="4">
        <v>42811</v>
      </c>
      <c r="I433" s="1" t="s">
        <v>1486</v>
      </c>
      <c r="J433" s="7" t="s">
        <v>1487</v>
      </c>
      <c r="K433" s="17">
        <v>656</v>
      </c>
      <c r="L433" t="str">
        <f ca="1">+IF(TODAY()-ICETEX[[#This Row],[fecha_ultimo_movimiento]]&gt;360,"Inactivo","Activo")</f>
        <v>Inactivo</v>
      </c>
      <c r="M433" s="24">
        <f>+VLOOKUP(ICETEX[[#This Row],[fecha_ultimo_movimiento]],UVR!A:B,2,0)</f>
        <v>351.53289999999998</v>
      </c>
      <c r="N433" s="24">
        <v>401</v>
      </c>
      <c r="O433" t="s">
        <v>3264</v>
      </c>
    </row>
    <row r="434" spans="1:15" ht="15" thickBot="1">
      <c r="A434" s="6">
        <v>433</v>
      </c>
      <c r="B434" s="1" t="s">
        <v>1488</v>
      </c>
      <c r="C434" s="1" t="s">
        <v>1489</v>
      </c>
      <c r="D434" s="2">
        <v>114901859</v>
      </c>
      <c r="E434" s="1" t="s">
        <v>45</v>
      </c>
      <c r="F434" s="25">
        <v>104969.11</v>
      </c>
      <c r="G434" s="4">
        <v>44462</v>
      </c>
      <c r="H434" s="4">
        <v>43244</v>
      </c>
      <c r="I434" s="1" t="s">
        <v>1490</v>
      </c>
      <c r="J434" s="7" t="s">
        <v>1491</v>
      </c>
      <c r="K434" s="17">
        <v>1375</v>
      </c>
      <c r="L434" t="str">
        <f ca="1">+IF(TODAY()-ICETEX[[#This Row],[fecha_ultimo_movimiento]]&gt;360,"Inactivo","Activo")</f>
        <v>Inactivo</v>
      </c>
      <c r="M434" s="24">
        <f>+VLOOKUP(ICETEX[[#This Row],[fecha_ultimo_movimiento]],UVR!A:B,2,0)</f>
        <v>285.81599999999997</v>
      </c>
      <c r="N434" s="24">
        <v>367</v>
      </c>
      <c r="O434" t="s">
        <v>3264</v>
      </c>
    </row>
    <row r="435" spans="1:15" ht="15" thickBot="1">
      <c r="A435" s="6">
        <v>434</v>
      </c>
      <c r="B435" s="1" t="s">
        <v>690</v>
      </c>
      <c r="C435" s="1" t="s">
        <v>1492</v>
      </c>
      <c r="D435" s="2">
        <v>42200279</v>
      </c>
      <c r="E435" s="1" t="s">
        <v>45</v>
      </c>
      <c r="F435" s="25">
        <v>14535.59</v>
      </c>
      <c r="G435" s="4">
        <v>45083</v>
      </c>
      <c r="H435" s="4">
        <v>42982</v>
      </c>
      <c r="I435" s="1" t="s">
        <v>538</v>
      </c>
      <c r="J435" s="7" t="s">
        <v>1493</v>
      </c>
      <c r="K435" s="17">
        <v>754</v>
      </c>
      <c r="L435" t="str">
        <f ca="1">+IF(TODAY()-ICETEX[[#This Row],[fecha_ultimo_movimiento]]&gt;360,"Inactivo","Activo")</f>
        <v>Inactivo</v>
      </c>
      <c r="M435" s="24">
        <f>+VLOOKUP(ICETEX[[#This Row],[fecha_ultimo_movimiento]],UVR!A:B,2,0)</f>
        <v>346.62950000000001</v>
      </c>
      <c r="N435" s="24">
        <v>42</v>
      </c>
      <c r="O435" t="s">
        <v>3265</v>
      </c>
    </row>
    <row r="436" spans="1:15" ht="15" thickBot="1">
      <c r="A436" s="6">
        <v>435</v>
      </c>
      <c r="B436" s="1" t="s">
        <v>1494</v>
      </c>
      <c r="C436" s="1" t="s">
        <v>1495</v>
      </c>
      <c r="D436" s="2">
        <v>51404118</v>
      </c>
      <c r="E436" s="1" t="s">
        <v>45</v>
      </c>
      <c r="F436" s="25">
        <v>51188.59</v>
      </c>
      <c r="G436" s="4">
        <v>45205</v>
      </c>
      <c r="H436" s="4">
        <v>43331</v>
      </c>
      <c r="I436" s="1" t="s">
        <v>147</v>
      </c>
      <c r="J436" s="7" t="s">
        <v>1496</v>
      </c>
      <c r="K436" s="17">
        <v>632</v>
      </c>
      <c r="L436" t="str">
        <f ca="1">+IF(TODAY()-ICETEX[[#This Row],[fecha_ultimo_movimiento]]&gt;360,"Inactivo","Activo")</f>
        <v>Inactivo</v>
      </c>
      <c r="M436" s="24">
        <f>+VLOOKUP(ICETEX[[#This Row],[fecha_ultimo_movimiento]],UVR!A:B,2,0)</f>
        <v>353.42410000000001</v>
      </c>
      <c r="N436" s="24">
        <v>145</v>
      </c>
      <c r="O436" t="s">
        <v>3265</v>
      </c>
    </row>
    <row r="437" spans="1:15" ht="15" thickBot="1">
      <c r="A437" s="6">
        <v>436</v>
      </c>
      <c r="B437" s="1" t="s">
        <v>1497</v>
      </c>
      <c r="C437" s="1" t="s">
        <v>1498</v>
      </c>
      <c r="D437" s="2">
        <v>101110543</v>
      </c>
      <c r="E437" s="1" t="s">
        <v>45</v>
      </c>
      <c r="F437" s="25">
        <v>137767.03</v>
      </c>
      <c r="G437" s="4">
        <v>44353</v>
      </c>
      <c r="H437" s="4">
        <v>42546</v>
      </c>
      <c r="I437" s="1" t="s">
        <v>1499</v>
      </c>
      <c r="J437" s="7" t="s">
        <v>1500</v>
      </c>
      <c r="K437" s="17">
        <v>1484</v>
      </c>
      <c r="L437" t="str">
        <f ca="1">+IF(TODAY()-ICETEX[[#This Row],[fecha_ultimo_movimiento]]&gt;360,"Inactivo","Activo")</f>
        <v>Inactivo</v>
      </c>
      <c r="M437" s="24">
        <f>+VLOOKUP(ICETEX[[#This Row],[fecha_ultimo_movimiento]],UVR!A:B,2,0)</f>
        <v>281.40589999999997</v>
      </c>
      <c r="N437" s="24">
        <v>490</v>
      </c>
      <c r="O437" t="s">
        <v>3264</v>
      </c>
    </row>
    <row r="438" spans="1:15" ht="15" thickBot="1">
      <c r="A438" s="6">
        <v>437</v>
      </c>
      <c r="B438" s="1" t="s">
        <v>1501</v>
      </c>
      <c r="C438" s="1" t="s">
        <v>1502</v>
      </c>
      <c r="D438" s="2">
        <v>43403282</v>
      </c>
      <c r="E438" s="1" t="s">
        <v>12</v>
      </c>
      <c r="F438" s="25">
        <v>99117.64</v>
      </c>
      <c r="G438" s="4">
        <v>44853</v>
      </c>
      <c r="H438" s="4">
        <v>42611</v>
      </c>
      <c r="I438" s="1" t="s">
        <v>434</v>
      </c>
      <c r="J438" s="7" t="s">
        <v>1503</v>
      </c>
      <c r="K438" s="17">
        <v>984</v>
      </c>
      <c r="L438" t="str">
        <f ca="1">+IF(TODAY()-ICETEX[[#This Row],[fecha_ultimo_movimiento]]&gt;360,"Inactivo","Activo")</f>
        <v>Inactivo</v>
      </c>
      <c r="M438" s="24">
        <f>+VLOOKUP(ICETEX[[#This Row],[fecha_ultimo_movimiento]],UVR!A:B,2,0)</f>
        <v>318.22570000000002</v>
      </c>
      <c r="N438" s="24">
        <v>311</v>
      </c>
      <c r="O438" t="s">
        <v>3265</v>
      </c>
    </row>
    <row r="439" spans="1:15" ht="15" thickBot="1">
      <c r="A439" s="6">
        <v>438</v>
      </c>
      <c r="B439" s="1" t="s">
        <v>1504</v>
      </c>
      <c r="C439" s="1" t="s">
        <v>1505</v>
      </c>
      <c r="D439" s="2">
        <v>11301646</v>
      </c>
      <c r="E439" s="1" t="s">
        <v>12</v>
      </c>
      <c r="F439" s="25">
        <v>106770.18</v>
      </c>
      <c r="G439" s="4">
        <v>45733</v>
      </c>
      <c r="H439" s="4">
        <v>43249</v>
      </c>
      <c r="I439" s="1" t="s">
        <v>13</v>
      </c>
      <c r="J439" s="7" t="s">
        <v>1506</v>
      </c>
      <c r="K439" s="17">
        <v>104</v>
      </c>
      <c r="L439" t="str">
        <f ca="1">+IF(TODAY()-ICETEX[[#This Row],[fecha_ultimo_movimiento]]&gt;360,"Inactivo","Activo")</f>
        <v>Activo</v>
      </c>
      <c r="M439" s="24">
        <f>+VLOOKUP(ICETEX[[#This Row],[fecha_ultimo_movimiento]],UVR!A:B,2,0)</f>
        <v>382.84609999999998</v>
      </c>
      <c r="N439" s="24">
        <v>279</v>
      </c>
      <c r="O439" t="s">
        <v>3264</v>
      </c>
    </row>
    <row r="440" spans="1:15" ht="15" thickBot="1">
      <c r="A440" s="6">
        <v>439</v>
      </c>
      <c r="B440" s="1" t="s">
        <v>1507</v>
      </c>
      <c r="C440" s="1" t="s">
        <v>1508</v>
      </c>
      <c r="D440" s="2">
        <v>51501299</v>
      </c>
      <c r="E440" s="1" t="s">
        <v>45</v>
      </c>
      <c r="F440" s="25">
        <v>196534.44</v>
      </c>
      <c r="G440" s="4">
        <v>44235</v>
      </c>
      <c r="H440" s="4">
        <v>43074</v>
      </c>
      <c r="I440" s="1" t="s">
        <v>348</v>
      </c>
      <c r="J440" s="8" t="s">
        <v>1509</v>
      </c>
      <c r="K440" s="17">
        <v>1602</v>
      </c>
      <c r="L440" t="str">
        <f ca="1">+IF(TODAY()-ICETEX[[#This Row],[fecha_ultimo_movimiento]]&gt;360,"Inactivo","Activo")</f>
        <v>Inactivo</v>
      </c>
      <c r="M440" s="24">
        <f>+VLOOKUP(ICETEX[[#This Row],[fecha_ultimo_movimiento]],UVR!A:B,2,0)</f>
        <v>275.6712</v>
      </c>
      <c r="N440" s="24">
        <v>713</v>
      </c>
      <c r="O440" t="s">
        <v>3264</v>
      </c>
    </row>
    <row r="441" spans="1:15" ht="15" thickBot="1">
      <c r="A441" s="6">
        <v>440</v>
      </c>
      <c r="B441" s="1" t="s">
        <v>1510</v>
      </c>
      <c r="C441" s="1" t="s">
        <v>1511</v>
      </c>
      <c r="D441" s="2">
        <v>91904872</v>
      </c>
      <c r="E441" s="1" t="s">
        <v>45</v>
      </c>
      <c r="F441" s="25">
        <v>84092.71</v>
      </c>
      <c r="G441" s="4">
        <v>44824</v>
      </c>
      <c r="H441" s="4">
        <v>42596</v>
      </c>
      <c r="I441" s="1" t="s">
        <v>1512</v>
      </c>
      <c r="J441" s="7" t="s">
        <v>1513</v>
      </c>
      <c r="K441" s="17">
        <v>1013</v>
      </c>
      <c r="L441" t="str">
        <f ca="1">+IF(TODAY()-ICETEX[[#This Row],[fecha_ultimo_movimiento]]&gt;360,"Inactivo","Activo")</f>
        <v>Inactivo</v>
      </c>
      <c r="M441" s="24">
        <f>+VLOOKUP(ICETEX[[#This Row],[fecha_ultimo_movimiento]],UVR!A:B,2,0)</f>
        <v>315.16910000000001</v>
      </c>
      <c r="N441" s="24">
        <v>267</v>
      </c>
      <c r="O441" t="s">
        <v>3265</v>
      </c>
    </row>
    <row r="442" spans="1:15" ht="15" thickBot="1">
      <c r="A442" s="6">
        <v>441</v>
      </c>
      <c r="B442" s="1" t="s">
        <v>1514</v>
      </c>
      <c r="C442" s="1" t="s">
        <v>1515</v>
      </c>
      <c r="D442" s="2">
        <v>62102933</v>
      </c>
      <c r="E442" s="1" t="s">
        <v>45</v>
      </c>
      <c r="F442" s="25">
        <v>178327.34</v>
      </c>
      <c r="G442" s="4">
        <v>43918</v>
      </c>
      <c r="H442" s="4">
        <v>42546</v>
      </c>
      <c r="I442" s="1" t="s">
        <v>135</v>
      </c>
      <c r="J442" s="7" t="s">
        <v>1516</v>
      </c>
      <c r="K442" s="17">
        <v>1919</v>
      </c>
      <c r="L442" t="str">
        <f ca="1">+IF(TODAY()-ICETEX[[#This Row],[fecha_ultimo_movimiento]]&gt;360,"Inactivo","Activo")</f>
        <v>Inactivo</v>
      </c>
      <c r="M442" s="24">
        <f>+VLOOKUP(ICETEX[[#This Row],[fecha_ultimo_movimiento]],UVR!A:B,2,0)</f>
        <v>273.45359999999999</v>
      </c>
      <c r="N442" s="24">
        <v>652</v>
      </c>
      <c r="O442" t="s">
        <v>3264</v>
      </c>
    </row>
    <row r="443" spans="1:15" ht="15" thickBot="1">
      <c r="A443" s="6">
        <v>442</v>
      </c>
      <c r="B443" s="1" t="s">
        <v>1517</v>
      </c>
      <c r="C443" s="1" t="s">
        <v>1518</v>
      </c>
      <c r="D443" s="2">
        <v>31301846</v>
      </c>
      <c r="E443" s="1" t="s">
        <v>12</v>
      </c>
      <c r="F443" s="25">
        <v>45589.919999999998</v>
      </c>
      <c r="G443" s="4">
        <v>45780</v>
      </c>
      <c r="H443" s="4">
        <v>43281</v>
      </c>
      <c r="I443" s="1" t="s">
        <v>88</v>
      </c>
      <c r="J443" s="7" t="s">
        <v>1519</v>
      </c>
      <c r="K443" s="17">
        <v>57</v>
      </c>
      <c r="L443" t="str">
        <f ca="1">+IF(TODAY()-ICETEX[[#This Row],[fecha_ultimo_movimiento]]&gt;360,"Inactivo","Activo")</f>
        <v>Activo</v>
      </c>
      <c r="M443" s="24">
        <f>+VLOOKUP(ICETEX[[#This Row],[fecha_ultimo_movimiento]],UVR!A:B,2,0)</f>
        <v>388.13350000000003</v>
      </c>
      <c r="N443" s="24">
        <v>117</v>
      </c>
      <c r="O443" t="s">
        <v>3264</v>
      </c>
    </row>
    <row r="444" spans="1:15" ht="15" thickBot="1">
      <c r="A444" s="6">
        <v>443</v>
      </c>
      <c r="B444" s="1" t="s">
        <v>1520</v>
      </c>
      <c r="C444" s="1" t="s">
        <v>1521</v>
      </c>
      <c r="D444" s="2">
        <v>51000017</v>
      </c>
      <c r="E444" s="1" t="s">
        <v>12</v>
      </c>
      <c r="F444" s="25">
        <v>112932.8</v>
      </c>
      <c r="G444" s="4">
        <v>45396</v>
      </c>
      <c r="H444" s="4">
        <v>42911</v>
      </c>
      <c r="I444" s="1" t="s">
        <v>762</v>
      </c>
      <c r="J444" s="7" t="s">
        <v>1522</v>
      </c>
      <c r="K444" s="17">
        <v>441</v>
      </c>
      <c r="L444" t="str">
        <f ca="1">+IF(TODAY()-ICETEX[[#This Row],[fecha_ultimo_movimiento]]&gt;360,"Inactivo","Activo")</f>
        <v>Inactivo</v>
      </c>
      <c r="M444" s="24">
        <f>+VLOOKUP(ICETEX[[#This Row],[fecha_ultimo_movimiento]],UVR!A:B,2,0)</f>
        <v>367.4076</v>
      </c>
      <c r="N444" s="24">
        <v>307</v>
      </c>
      <c r="O444" t="s">
        <v>3265</v>
      </c>
    </row>
    <row r="445" spans="1:15" ht="15" thickBot="1">
      <c r="A445" s="6">
        <v>444</v>
      </c>
      <c r="B445" s="1" t="s">
        <v>1523</v>
      </c>
      <c r="C445" s="1" t="s">
        <v>1524</v>
      </c>
      <c r="D445" s="2">
        <v>11900571</v>
      </c>
      <c r="E445" s="1" t="s">
        <v>45</v>
      </c>
      <c r="F445" s="25">
        <v>105606.66</v>
      </c>
      <c r="G445" s="4">
        <v>45693</v>
      </c>
      <c r="H445" s="4">
        <v>42944</v>
      </c>
      <c r="I445" s="1" t="s">
        <v>762</v>
      </c>
      <c r="J445" s="7" t="s">
        <v>1525</v>
      </c>
      <c r="K445" s="17">
        <v>144</v>
      </c>
      <c r="L445" t="str">
        <f ca="1">+IF(TODAY()-ICETEX[[#This Row],[fecha_ultimo_movimiento]]&gt;360,"Inactivo","Activo")</f>
        <v>Activo</v>
      </c>
      <c r="M445" s="24">
        <f>+VLOOKUP(ICETEX[[#This Row],[fecha_ultimo_movimiento]],UVR!A:B,2,0)</f>
        <v>378.44290000000001</v>
      </c>
      <c r="N445" s="24">
        <v>279</v>
      </c>
      <c r="O445" t="s">
        <v>3264</v>
      </c>
    </row>
    <row r="446" spans="1:15" ht="15" thickBot="1">
      <c r="A446" s="6">
        <v>445</v>
      </c>
      <c r="B446" s="1" t="s">
        <v>1526</v>
      </c>
      <c r="C446" s="1" t="s">
        <v>1527</v>
      </c>
      <c r="D446" s="2">
        <v>83901744</v>
      </c>
      <c r="E446" s="1" t="s">
        <v>45</v>
      </c>
      <c r="F446" s="25">
        <v>161276.73000000001</v>
      </c>
      <c r="G446" s="4">
        <v>43938</v>
      </c>
      <c r="H446" s="4">
        <v>42604</v>
      </c>
      <c r="I446" s="1" t="s">
        <v>25</v>
      </c>
      <c r="J446" s="7" t="s">
        <v>1528</v>
      </c>
      <c r="K446" s="17">
        <v>1899</v>
      </c>
      <c r="L446" t="str">
        <f ca="1">+IF(TODAY()-ICETEX[[#This Row],[fecha_ultimo_movimiento]]&gt;360,"Inactivo","Activo")</f>
        <v>Inactivo</v>
      </c>
      <c r="M446" s="24">
        <f>+VLOOKUP(ICETEX[[#This Row],[fecha_ultimo_movimiento]],UVR!A:B,2,0)</f>
        <v>274.61989999999997</v>
      </c>
      <c r="N446" s="24">
        <v>587</v>
      </c>
      <c r="O446" t="s">
        <v>3264</v>
      </c>
    </row>
    <row r="447" spans="1:15" ht="15" thickBot="1">
      <c r="A447" s="6">
        <v>446</v>
      </c>
      <c r="B447" s="1" t="s">
        <v>1529</v>
      </c>
      <c r="C447" s="1" t="s">
        <v>1530</v>
      </c>
      <c r="D447" s="2">
        <v>271971829</v>
      </c>
      <c r="E447" s="1" t="s">
        <v>45</v>
      </c>
      <c r="F447" s="25">
        <v>68669.899999999994</v>
      </c>
      <c r="G447" s="4">
        <v>45001</v>
      </c>
      <c r="H447" s="4">
        <v>43406</v>
      </c>
      <c r="I447" s="1" t="s">
        <v>131</v>
      </c>
      <c r="J447" s="7" t="s">
        <v>1531</v>
      </c>
      <c r="K447" s="17">
        <v>836</v>
      </c>
      <c r="L447" t="str">
        <f ca="1">+IF(TODAY()-ICETEX[[#This Row],[fecha_ultimo_movimiento]]&gt;360,"Inactivo","Activo")</f>
        <v>Inactivo</v>
      </c>
      <c r="M447" s="24">
        <f>+VLOOKUP(ICETEX[[#This Row],[fecha_ultimo_movimiento]],UVR!A:B,2,0)</f>
        <v>335.74919999999997</v>
      </c>
      <c r="N447" s="24">
        <v>205</v>
      </c>
      <c r="O447" t="s">
        <v>3265</v>
      </c>
    </row>
    <row r="448" spans="1:15" ht="15" thickBot="1">
      <c r="A448" s="6">
        <v>447</v>
      </c>
      <c r="B448" s="1" t="s">
        <v>1532</v>
      </c>
      <c r="C448" s="1" t="s">
        <v>1533</v>
      </c>
      <c r="D448" s="2">
        <v>103107402</v>
      </c>
      <c r="E448" s="1" t="s">
        <v>45</v>
      </c>
      <c r="F448" s="25">
        <v>170853.32</v>
      </c>
      <c r="G448" s="4">
        <v>45587</v>
      </c>
      <c r="H448" s="4">
        <v>42501</v>
      </c>
      <c r="I448" s="1" t="s">
        <v>1534</v>
      </c>
      <c r="J448" s="7" t="s">
        <v>1535</v>
      </c>
      <c r="K448" s="17">
        <v>250</v>
      </c>
      <c r="L448" t="str">
        <f ca="1">+IF(TODAY()-ICETEX[[#This Row],[fecha_ultimo_movimiento]]&gt;360,"Inactivo","Activo")</f>
        <v>Activo</v>
      </c>
      <c r="M448" s="24">
        <f>+VLOOKUP(ICETEX[[#This Row],[fecha_ultimo_movimiento]],UVR!A:B,2,0)</f>
        <v>376.04360000000003</v>
      </c>
      <c r="N448" s="24">
        <v>454</v>
      </c>
      <c r="O448" t="s">
        <v>3264</v>
      </c>
    </row>
    <row r="449" spans="1:15" ht="15" thickBot="1">
      <c r="A449" s="6">
        <v>448</v>
      </c>
      <c r="B449" s="1" t="s">
        <v>1536</v>
      </c>
      <c r="C449" s="1" t="s">
        <v>1537</v>
      </c>
      <c r="D449" s="2">
        <v>42206804</v>
      </c>
      <c r="E449" s="1" t="s">
        <v>45</v>
      </c>
      <c r="F449" s="25">
        <v>153384.73000000001</v>
      </c>
      <c r="G449" s="4">
        <v>45789</v>
      </c>
      <c r="H449" s="4">
        <v>42503</v>
      </c>
      <c r="I449" s="1" t="s">
        <v>37</v>
      </c>
      <c r="J449" s="7" t="s">
        <v>1538</v>
      </c>
      <c r="K449" s="17">
        <v>48</v>
      </c>
      <c r="L449" t="str">
        <f ca="1">+IF(TODAY()-ICETEX[[#This Row],[fecha_ultimo_movimiento]]&gt;360,"Inactivo","Activo")</f>
        <v>Activo</v>
      </c>
      <c r="M449" s="24">
        <f>+VLOOKUP(ICETEX[[#This Row],[fecha_ultimo_movimiento]],UVR!A:B,2,0)</f>
        <v>388.73790000000002</v>
      </c>
      <c r="N449" s="24">
        <v>395</v>
      </c>
      <c r="O449" t="s">
        <v>3264</v>
      </c>
    </row>
    <row r="450" spans="1:15" ht="15" thickBot="1">
      <c r="A450" s="6">
        <v>449</v>
      </c>
      <c r="B450" s="1" t="s">
        <v>1539</v>
      </c>
      <c r="C450" s="1" t="s">
        <v>1540</v>
      </c>
      <c r="D450" s="2">
        <v>111320006</v>
      </c>
      <c r="E450" s="1" t="s">
        <v>45</v>
      </c>
      <c r="F450" s="25">
        <v>73127.86</v>
      </c>
      <c r="G450" s="4">
        <v>43947</v>
      </c>
      <c r="H450" s="4">
        <v>43052</v>
      </c>
      <c r="I450" s="1" t="s">
        <v>1541</v>
      </c>
      <c r="J450" s="7" t="s">
        <v>1542</v>
      </c>
      <c r="K450" s="17">
        <v>1890</v>
      </c>
      <c r="L450" t="str">
        <f ca="1">+IF(TODAY()-ICETEX[[#This Row],[fecha_ultimo_movimiento]]&gt;360,"Inactivo","Activo")</f>
        <v>Inactivo</v>
      </c>
      <c r="M450" s="24">
        <f>+VLOOKUP(ICETEX[[#This Row],[fecha_ultimo_movimiento]],UVR!A:B,2,0)</f>
        <v>275.08859999999999</v>
      </c>
      <c r="N450" s="24">
        <v>266</v>
      </c>
      <c r="O450" t="s">
        <v>3265</v>
      </c>
    </row>
    <row r="451" spans="1:15" ht="15" thickBot="1">
      <c r="A451" s="6">
        <v>450</v>
      </c>
      <c r="B451" s="1" t="s">
        <v>1543</v>
      </c>
      <c r="C451" s="1" t="s">
        <v>1544</v>
      </c>
      <c r="D451" s="2">
        <v>63109935</v>
      </c>
      <c r="E451" s="1" t="s">
        <v>12</v>
      </c>
      <c r="F451" s="25">
        <v>164492.38</v>
      </c>
      <c r="G451" s="4">
        <v>44906</v>
      </c>
      <c r="H451" s="4">
        <v>43408</v>
      </c>
      <c r="I451" s="1" t="s">
        <v>131</v>
      </c>
      <c r="J451" s="7" t="s">
        <v>1545</v>
      </c>
      <c r="K451" s="17">
        <v>931</v>
      </c>
      <c r="L451" t="str">
        <f ca="1">+IF(TODAY()-ICETEX[[#This Row],[fecha_ultimo_movimiento]]&gt;360,"Inactivo","Activo")</f>
        <v>Inactivo</v>
      </c>
      <c r="M451" s="24">
        <f>+VLOOKUP(ICETEX[[#This Row],[fecha_ultimo_movimiento]],UVR!A:B,2,0)</f>
        <v>322.80259999999998</v>
      </c>
      <c r="N451" s="24">
        <v>510</v>
      </c>
      <c r="O451" t="s">
        <v>3264</v>
      </c>
    </row>
    <row r="452" spans="1:15" ht="15" thickBot="1">
      <c r="A452" s="6">
        <v>451</v>
      </c>
      <c r="B452" s="1" t="s">
        <v>1546</v>
      </c>
      <c r="C452" s="1" t="s">
        <v>1547</v>
      </c>
      <c r="D452" s="2">
        <v>42102018</v>
      </c>
      <c r="E452" s="1" t="s">
        <v>12</v>
      </c>
      <c r="F452" s="25">
        <v>185954.18</v>
      </c>
      <c r="G452" s="4">
        <v>44843</v>
      </c>
      <c r="H452" s="4">
        <v>42426</v>
      </c>
      <c r="I452" s="1" t="s">
        <v>621</v>
      </c>
      <c r="J452" s="7" t="s">
        <v>1548</v>
      </c>
      <c r="K452" s="17">
        <v>994</v>
      </c>
      <c r="L452" t="str">
        <f ca="1">+IF(TODAY()-ICETEX[[#This Row],[fecha_ultimo_movimiento]]&gt;360,"Inactivo","Activo")</f>
        <v>Inactivo</v>
      </c>
      <c r="M452" s="24">
        <f>+VLOOKUP(ICETEX[[#This Row],[fecha_ultimo_movimiento]],UVR!A:B,2,0)</f>
        <v>317.2013</v>
      </c>
      <c r="N452" s="24">
        <v>586</v>
      </c>
      <c r="O452" t="s">
        <v>3264</v>
      </c>
    </row>
    <row r="453" spans="1:15" ht="15" thickBot="1">
      <c r="A453" s="6">
        <v>452</v>
      </c>
      <c r="B453" s="1" t="s">
        <v>1549</v>
      </c>
      <c r="C453" s="1" t="s">
        <v>1550</v>
      </c>
      <c r="D453" s="2">
        <v>91206745</v>
      </c>
      <c r="E453" s="1" t="s">
        <v>12</v>
      </c>
      <c r="F453" s="25">
        <v>122261.16</v>
      </c>
      <c r="G453" s="4">
        <v>45610</v>
      </c>
      <c r="H453" s="4">
        <v>42703</v>
      </c>
      <c r="I453" s="1" t="s">
        <v>1551</v>
      </c>
      <c r="J453" s="7" t="s">
        <v>1552</v>
      </c>
      <c r="K453" s="17">
        <v>227</v>
      </c>
      <c r="L453" t="str">
        <f ca="1">+IF(TODAY()-ICETEX[[#This Row],[fecha_ultimo_movimiento]]&gt;360,"Inactivo","Activo")</f>
        <v>Activo</v>
      </c>
      <c r="M453" s="24">
        <f>+VLOOKUP(ICETEX[[#This Row],[fecha_ultimo_movimiento]],UVR!A:B,2,0)</f>
        <v>376.71300000000002</v>
      </c>
      <c r="N453" s="24">
        <v>325</v>
      </c>
      <c r="O453" t="s">
        <v>3264</v>
      </c>
    </row>
    <row r="454" spans="1:15" ht="15" thickBot="1">
      <c r="A454" s="6">
        <v>453</v>
      </c>
      <c r="B454" s="1" t="s">
        <v>1553</v>
      </c>
      <c r="C454" s="1" t="s">
        <v>1554</v>
      </c>
      <c r="D454" s="2">
        <v>41001013</v>
      </c>
      <c r="E454" s="1" t="s">
        <v>12</v>
      </c>
      <c r="F454" s="25">
        <v>119989.09</v>
      </c>
      <c r="G454" s="4">
        <v>44792</v>
      </c>
      <c r="H454" s="4">
        <v>43060</v>
      </c>
      <c r="I454" s="1" t="s">
        <v>1555</v>
      </c>
      <c r="J454" s="7" t="s">
        <v>1235</v>
      </c>
      <c r="K454" s="17">
        <v>1045</v>
      </c>
      <c r="L454" t="str">
        <f ca="1">+IF(TODAY()-ICETEX[[#This Row],[fecha_ultimo_movimiento]]&gt;360,"Inactivo","Activo")</f>
        <v>Inactivo</v>
      </c>
      <c r="M454" s="24">
        <f>+VLOOKUP(ICETEX[[#This Row],[fecha_ultimo_movimiento]],UVR!A:B,2,0)</f>
        <v>312.43349999999998</v>
      </c>
      <c r="N454" s="24">
        <v>384</v>
      </c>
      <c r="O454" t="s">
        <v>3264</v>
      </c>
    </row>
    <row r="455" spans="1:15" ht="15" thickBot="1">
      <c r="A455" s="6">
        <v>454</v>
      </c>
      <c r="B455" s="1" t="s">
        <v>1556</v>
      </c>
      <c r="C455" s="1" t="s">
        <v>1557</v>
      </c>
      <c r="D455" s="2">
        <v>325182755</v>
      </c>
      <c r="E455" s="1" t="s">
        <v>45</v>
      </c>
      <c r="F455" s="25">
        <v>95741.78</v>
      </c>
      <c r="G455" s="4">
        <v>45417</v>
      </c>
      <c r="H455" s="4">
        <v>42773</v>
      </c>
      <c r="I455" s="1" t="s">
        <v>263</v>
      </c>
      <c r="J455" s="7" t="s">
        <v>1558</v>
      </c>
      <c r="K455" s="17">
        <v>420</v>
      </c>
      <c r="L455" t="str">
        <f ca="1">+IF(TODAY()-ICETEX[[#This Row],[fecha_ultimo_movimiento]]&gt;360,"Inactivo","Activo")</f>
        <v>Inactivo</v>
      </c>
      <c r="M455" s="24">
        <f>+VLOOKUP(ICETEX[[#This Row],[fecha_ultimo_movimiento]],UVR!A:B,2,0)</f>
        <v>369.24930000000001</v>
      </c>
      <c r="N455" s="24">
        <v>259</v>
      </c>
      <c r="O455" t="s">
        <v>3265</v>
      </c>
    </row>
    <row r="456" spans="1:15" ht="15" thickBot="1">
      <c r="A456" s="6">
        <v>455</v>
      </c>
      <c r="B456" s="1" t="s">
        <v>1559</v>
      </c>
      <c r="C456" s="1" t="s">
        <v>1560</v>
      </c>
      <c r="D456" s="2">
        <v>61204463</v>
      </c>
      <c r="E456" s="1" t="s">
        <v>12</v>
      </c>
      <c r="F456" s="25">
        <v>50213.85</v>
      </c>
      <c r="G456" s="4">
        <v>45111</v>
      </c>
      <c r="H456" s="4">
        <v>42919</v>
      </c>
      <c r="I456" s="1" t="s">
        <v>1561</v>
      </c>
      <c r="J456" s="7" t="s">
        <v>1562</v>
      </c>
      <c r="K456" s="17">
        <v>726</v>
      </c>
      <c r="L456" t="str">
        <f ca="1">+IF(TODAY()-ICETEX[[#This Row],[fecha_ultimo_movimiento]]&gt;360,"Inactivo","Activo")</f>
        <v>Inactivo</v>
      </c>
      <c r="M456" s="24">
        <f>+VLOOKUP(ICETEX[[#This Row],[fecha_ultimo_movimiento]],UVR!A:B,2,0)</f>
        <v>348.35759999999999</v>
      </c>
      <c r="N456" s="24">
        <v>144</v>
      </c>
      <c r="O456" t="s">
        <v>3265</v>
      </c>
    </row>
    <row r="457" spans="1:15" ht="15" thickBot="1">
      <c r="A457" s="6">
        <v>456</v>
      </c>
      <c r="B457" s="1" t="s">
        <v>1563</v>
      </c>
      <c r="C457" s="1" t="s">
        <v>1564</v>
      </c>
      <c r="D457" s="2">
        <v>84302698</v>
      </c>
      <c r="E457" s="1" t="s">
        <v>12</v>
      </c>
      <c r="F457" s="25">
        <v>140168.38</v>
      </c>
      <c r="G457" s="4">
        <v>45471</v>
      </c>
      <c r="H457" s="4">
        <v>42511</v>
      </c>
      <c r="I457" s="1" t="s">
        <v>1565</v>
      </c>
      <c r="J457" s="7" t="s">
        <v>1566</v>
      </c>
      <c r="K457" s="17">
        <v>366</v>
      </c>
      <c r="L457" t="str">
        <f ca="1">+IF(TODAY()-ICETEX[[#This Row],[fecha_ultimo_movimiento]]&gt;360,"Inactivo","Activo")</f>
        <v>Inactivo</v>
      </c>
      <c r="M457" s="24">
        <f>+VLOOKUP(ICETEX[[#This Row],[fecha_ultimo_movimiento]],UVR!A:B,2,0)</f>
        <v>372.98540000000003</v>
      </c>
      <c r="N457" s="24">
        <v>376</v>
      </c>
      <c r="O457" t="s">
        <v>3264</v>
      </c>
    </row>
    <row r="458" spans="1:15" ht="15" thickBot="1">
      <c r="A458" s="6">
        <v>457</v>
      </c>
      <c r="B458" s="1" t="s">
        <v>1567</v>
      </c>
      <c r="C458" s="1" t="s">
        <v>1568</v>
      </c>
      <c r="D458" s="2">
        <v>122239021</v>
      </c>
      <c r="E458" s="1" t="s">
        <v>45</v>
      </c>
      <c r="F458" s="25">
        <v>120855.84</v>
      </c>
      <c r="G458" s="4">
        <v>44332</v>
      </c>
      <c r="H458" s="4">
        <v>42487</v>
      </c>
      <c r="I458" s="1" t="s">
        <v>1374</v>
      </c>
      <c r="J458" s="7" t="s">
        <v>1569</v>
      </c>
      <c r="K458" s="17">
        <v>1505</v>
      </c>
      <c r="L458" t="str">
        <f ca="1">+IF(TODAY()-ICETEX[[#This Row],[fecha_ultimo_movimiento]]&gt;360,"Inactivo","Activo")</f>
        <v>Inactivo</v>
      </c>
      <c r="M458" s="24">
        <f>+VLOOKUP(ICETEX[[#This Row],[fecha_ultimo_movimiento]],UVR!A:B,2,0)</f>
        <v>280.2867</v>
      </c>
      <c r="N458" s="24">
        <v>431</v>
      </c>
      <c r="O458" t="s">
        <v>3264</v>
      </c>
    </row>
    <row r="459" spans="1:15" ht="15" thickBot="1">
      <c r="A459" s="6">
        <v>458</v>
      </c>
      <c r="B459" s="1" t="s">
        <v>1570</v>
      </c>
      <c r="C459" s="1" t="s">
        <v>1571</v>
      </c>
      <c r="D459" s="2">
        <v>125107736</v>
      </c>
      <c r="E459" s="1" t="s">
        <v>45</v>
      </c>
      <c r="F459" s="25">
        <v>55305.79</v>
      </c>
      <c r="G459" s="4">
        <v>44113</v>
      </c>
      <c r="H459" s="4">
        <v>43395</v>
      </c>
      <c r="I459" s="1" t="s">
        <v>475</v>
      </c>
      <c r="J459" s="7" t="s">
        <v>1572</v>
      </c>
      <c r="K459" s="17">
        <v>1724</v>
      </c>
      <c r="L459" t="str">
        <f ca="1">+IF(TODAY()-ICETEX[[#This Row],[fecha_ultimo_movimiento]]&gt;360,"Inactivo","Activo")</f>
        <v>Inactivo</v>
      </c>
      <c r="M459" s="24">
        <f>+VLOOKUP(ICETEX[[#This Row],[fecha_ultimo_movimiento]],UVR!A:B,2,0)</f>
        <v>274.56799999999998</v>
      </c>
      <c r="N459" s="24">
        <v>201</v>
      </c>
      <c r="O459" t="s">
        <v>3265</v>
      </c>
    </row>
    <row r="460" spans="1:15" ht="15" thickBot="1">
      <c r="A460" s="6">
        <v>459</v>
      </c>
      <c r="B460" s="1" t="s">
        <v>1573</v>
      </c>
      <c r="C460" s="1" t="s">
        <v>1574</v>
      </c>
      <c r="D460" s="2">
        <v>107000783</v>
      </c>
      <c r="E460" s="1" t="s">
        <v>12</v>
      </c>
      <c r="F460" s="25">
        <v>210962.93</v>
      </c>
      <c r="G460" s="4">
        <v>44359</v>
      </c>
      <c r="H460" s="4">
        <v>42744</v>
      </c>
      <c r="I460" s="1" t="s">
        <v>25</v>
      </c>
      <c r="J460" s="7" t="s">
        <v>1575</v>
      </c>
      <c r="K460" s="17">
        <v>1478</v>
      </c>
      <c r="L460" t="str">
        <f ca="1">+IF(TODAY()-ICETEX[[#This Row],[fecha_ultimo_movimiento]]&gt;360,"Inactivo","Activo")</f>
        <v>Inactivo</v>
      </c>
      <c r="M460" s="24">
        <f>+VLOOKUP(ICETEX[[#This Row],[fecha_ultimo_movimiento]],UVR!A:B,2,0)</f>
        <v>281.72640000000001</v>
      </c>
      <c r="N460" s="24">
        <v>749</v>
      </c>
      <c r="O460" t="s">
        <v>3264</v>
      </c>
    </row>
    <row r="461" spans="1:15" ht="15" thickBot="1">
      <c r="A461" s="6">
        <v>460</v>
      </c>
      <c r="B461" s="1" t="s">
        <v>1576</v>
      </c>
      <c r="C461" s="1" t="s">
        <v>1577</v>
      </c>
      <c r="D461" s="2">
        <v>271172987</v>
      </c>
      <c r="E461" s="1" t="s">
        <v>45</v>
      </c>
      <c r="F461" s="25">
        <v>123479.82</v>
      </c>
      <c r="G461" s="4">
        <v>44509</v>
      </c>
      <c r="H461" s="4">
        <v>42602</v>
      </c>
      <c r="I461" s="1" t="s">
        <v>46</v>
      </c>
      <c r="J461" s="7" t="s">
        <v>1578</v>
      </c>
      <c r="K461" s="17">
        <v>1328</v>
      </c>
      <c r="L461" t="str">
        <f ca="1">+IF(TODAY()-ICETEX[[#This Row],[fecha_ultimo_movimiento]]&gt;360,"Inactivo","Activo")</f>
        <v>Inactivo</v>
      </c>
      <c r="M461" s="24">
        <f>+VLOOKUP(ICETEX[[#This Row],[fecha_ultimo_movimiento]],UVR!A:B,2,0)</f>
        <v>287.63709999999998</v>
      </c>
      <c r="N461" s="24">
        <v>429</v>
      </c>
      <c r="O461" t="s">
        <v>3264</v>
      </c>
    </row>
    <row r="462" spans="1:15" ht="15" thickBot="1">
      <c r="A462" s="6">
        <v>461</v>
      </c>
      <c r="B462" s="1" t="s">
        <v>1579</v>
      </c>
      <c r="C462" s="1" t="s">
        <v>1580</v>
      </c>
      <c r="D462" s="2">
        <v>53201814</v>
      </c>
      <c r="E462" s="1" t="s">
        <v>12</v>
      </c>
      <c r="F462" s="25">
        <v>150403.51</v>
      </c>
      <c r="G462" s="4">
        <v>45523</v>
      </c>
      <c r="H462" s="4">
        <v>42576</v>
      </c>
      <c r="I462" s="1" t="s">
        <v>25</v>
      </c>
      <c r="J462" s="7" t="s">
        <v>1581</v>
      </c>
      <c r="K462" s="17">
        <v>314</v>
      </c>
      <c r="L462" t="str">
        <f ca="1">+IF(TODAY()-ICETEX[[#This Row],[fecha_ultimo_movimiento]]&gt;360,"Inactivo","Activo")</f>
        <v>Activo</v>
      </c>
      <c r="M462" s="24">
        <f>+VLOOKUP(ICETEX[[#This Row],[fecha_ultimo_movimiento]],UVR!A:B,2,0)</f>
        <v>375.1866</v>
      </c>
      <c r="N462" s="24">
        <v>401</v>
      </c>
      <c r="O462" t="s">
        <v>3264</v>
      </c>
    </row>
    <row r="463" spans="1:15" ht="15" thickBot="1">
      <c r="A463" s="6">
        <v>462</v>
      </c>
      <c r="B463" s="1" t="s">
        <v>1582</v>
      </c>
      <c r="C463" s="1" t="s">
        <v>1583</v>
      </c>
      <c r="D463" s="2">
        <v>53904483</v>
      </c>
      <c r="E463" s="1" t="s">
        <v>45</v>
      </c>
      <c r="F463" s="25">
        <v>120039.96</v>
      </c>
      <c r="G463" s="4">
        <v>43967</v>
      </c>
      <c r="H463" s="4">
        <v>43218</v>
      </c>
      <c r="I463" s="1" t="s">
        <v>762</v>
      </c>
      <c r="J463" s="7" t="s">
        <v>1584</v>
      </c>
      <c r="K463" s="17">
        <v>1870</v>
      </c>
      <c r="L463" t="str">
        <f ca="1">+IF(TODAY()-ICETEX[[#This Row],[fecha_ultimo_movimiento]]&gt;360,"Inactivo","Activo")</f>
        <v>Inactivo</v>
      </c>
      <c r="M463" s="24">
        <f>+VLOOKUP(ICETEX[[#This Row],[fecha_ultimo_movimiento]],UVR!A:B,2,0)</f>
        <v>276.09480000000002</v>
      </c>
      <c r="N463" s="24">
        <v>435</v>
      </c>
      <c r="O463" t="s">
        <v>3264</v>
      </c>
    </row>
    <row r="464" spans="1:15" ht="15" thickBot="1">
      <c r="A464" s="6">
        <v>463</v>
      </c>
      <c r="B464" s="1" t="s">
        <v>1585</v>
      </c>
      <c r="C464" s="1" t="s">
        <v>1586</v>
      </c>
      <c r="D464" s="2">
        <v>54001709</v>
      </c>
      <c r="E464" s="1" t="s">
        <v>45</v>
      </c>
      <c r="F464" s="25">
        <v>13082</v>
      </c>
      <c r="G464" s="4">
        <v>44384</v>
      </c>
      <c r="H464" s="4">
        <v>43003</v>
      </c>
      <c r="I464" s="1" t="s">
        <v>1035</v>
      </c>
      <c r="J464" s="7" t="s">
        <v>1587</v>
      </c>
      <c r="K464" s="17">
        <v>1453</v>
      </c>
      <c r="L464" t="str">
        <f ca="1">+IF(TODAY()-ICETEX[[#This Row],[fecha_ultimo_movimiento]]&gt;360,"Inactivo","Activo")</f>
        <v>Inactivo</v>
      </c>
      <c r="M464" s="24">
        <f>+VLOOKUP(ICETEX[[#This Row],[fecha_ultimo_movimiento]],UVR!A:B,2,0)</f>
        <v>283.9513</v>
      </c>
      <c r="N464" s="24">
        <v>46</v>
      </c>
      <c r="O464" t="s">
        <v>3265</v>
      </c>
    </row>
    <row r="465" spans="1:15" ht="15" thickBot="1">
      <c r="A465" s="6">
        <v>464</v>
      </c>
      <c r="B465" s="1" t="s">
        <v>1588</v>
      </c>
      <c r="C465" s="1" t="s">
        <v>1589</v>
      </c>
      <c r="D465" s="2">
        <v>91408501</v>
      </c>
      <c r="E465" s="1" t="s">
        <v>12</v>
      </c>
      <c r="F465" s="25">
        <v>165180.76</v>
      </c>
      <c r="G465" s="4">
        <v>45087</v>
      </c>
      <c r="H465" s="4">
        <v>42910</v>
      </c>
      <c r="I465" s="1" t="s">
        <v>330</v>
      </c>
      <c r="J465" s="7" t="s">
        <v>1590</v>
      </c>
      <c r="K465" s="17">
        <v>750</v>
      </c>
      <c r="L465" t="str">
        <f ca="1">+IF(TODAY()-ICETEX[[#This Row],[fecha_ultimo_movimiento]]&gt;360,"Inactivo","Activo")</f>
        <v>Inactivo</v>
      </c>
      <c r="M465" s="24">
        <f>+VLOOKUP(ICETEX[[#This Row],[fecha_ultimo_movimiento]],UVR!A:B,2,0)</f>
        <v>346.97710000000001</v>
      </c>
      <c r="N465" s="24">
        <v>476</v>
      </c>
      <c r="O465" t="s">
        <v>3264</v>
      </c>
    </row>
    <row r="466" spans="1:15" ht="15" thickBot="1">
      <c r="A466" s="6">
        <v>465</v>
      </c>
      <c r="B466" s="1" t="s">
        <v>1591</v>
      </c>
      <c r="C466" s="1" t="s">
        <v>1592</v>
      </c>
      <c r="D466" s="2">
        <v>111903151</v>
      </c>
      <c r="E466" s="1" t="s">
        <v>45</v>
      </c>
      <c r="F466" s="25">
        <v>50952.13</v>
      </c>
      <c r="G466" s="4">
        <v>45204</v>
      </c>
      <c r="H466" s="4">
        <v>43246</v>
      </c>
      <c r="I466" s="1" t="s">
        <v>1593</v>
      </c>
      <c r="J466" s="7" t="s">
        <v>1594</v>
      </c>
      <c r="K466" s="17">
        <v>633</v>
      </c>
      <c r="L466" t="str">
        <f ca="1">+IF(TODAY()-ICETEX[[#This Row],[fecha_ultimo_movimiento]]&gt;360,"Inactivo","Activo")</f>
        <v>Inactivo</v>
      </c>
      <c r="M466" s="24">
        <f>+VLOOKUP(ICETEX[[#This Row],[fecha_ultimo_movimiento]],UVR!A:B,2,0)</f>
        <v>353.34199999999998</v>
      </c>
      <c r="N466" s="24">
        <v>144</v>
      </c>
      <c r="O466" t="s">
        <v>3265</v>
      </c>
    </row>
    <row r="467" spans="1:15" ht="15" thickBot="1">
      <c r="A467" s="6">
        <v>466</v>
      </c>
      <c r="B467" s="1" t="s">
        <v>1595</v>
      </c>
      <c r="C467" s="1" t="s">
        <v>1596</v>
      </c>
      <c r="D467" s="2">
        <v>62200628</v>
      </c>
      <c r="E467" s="1" t="s">
        <v>45</v>
      </c>
      <c r="F467" s="25">
        <v>49226.58</v>
      </c>
      <c r="G467" s="4">
        <v>45754</v>
      </c>
      <c r="H467" s="4">
        <v>42914</v>
      </c>
      <c r="I467" s="1" t="s">
        <v>25</v>
      </c>
      <c r="J467" s="7" t="s">
        <v>1597</v>
      </c>
      <c r="K467" s="17">
        <v>83</v>
      </c>
      <c r="L467" t="str">
        <f ca="1">+IF(TODAY()-ICETEX[[#This Row],[fecha_ultimo_movimiento]]&gt;360,"Inactivo","Activo")</f>
        <v>Activo</v>
      </c>
      <c r="M467" s="24">
        <f>+VLOOKUP(ICETEX[[#This Row],[fecha_ultimo_movimiento]],UVR!A:B,2,0)</f>
        <v>385.79719999999998</v>
      </c>
      <c r="N467" s="24">
        <v>128</v>
      </c>
      <c r="O467" t="s">
        <v>3264</v>
      </c>
    </row>
    <row r="468" spans="1:15" ht="26.5" thickBot="1">
      <c r="A468" s="6">
        <v>467</v>
      </c>
      <c r="B468" s="1" t="s">
        <v>1598</v>
      </c>
      <c r="C468" s="1" t="s">
        <v>1599</v>
      </c>
      <c r="D468" s="2">
        <v>122105715</v>
      </c>
      <c r="E468" s="1" t="s">
        <v>45</v>
      </c>
      <c r="F468" s="25">
        <v>40644.269999999997</v>
      </c>
      <c r="G468" s="4">
        <v>45041</v>
      </c>
      <c r="H468" s="4">
        <v>42633</v>
      </c>
      <c r="I468" s="1" t="s">
        <v>1600</v>
      </c>
      <c r="J468" s="7" t="s">
        <v>1601</v>
      </c>
      <c r="K468" s="17">
        <v>796</v>
      </c>
      <c r="L468" t="str">
        <f ca="1">+IF(TODAY()-ICETEX[[#This Row],[fecha_ultimo_movimiento]]&gt;360,"Inactivo","Activo")</f>
        <v>Inactivo</v>
      </c>
      <c r="M468" s="24">
        <f>+VLOOKUP(ICETEX[[#This Row],[fecha_ultimo_movimiento]],UVR!A:B,2,0)</f>
        <v>342.33120000000002</v>
      </c>
      <c r="N468" s="24">
        <v>119</v>
      </c>
      <c r="O468" t="s">
        <v>3265</v>
      </c>
    </row>
    <row r="469" spans="1:15" ht="15" thickBot="1">
      <c r="A469" s="6">
        <v>468</v>
      </c>
      <c r="B469" s="1" t="s">
        <v>1602</v>
      </c>
      <c r="C469" s="1" t="s">
        <v>1603</v>
      </c>
      <c r="D469" s="2">
        <v>114909165</v>
      </c>
      <c r="E469" s="1" t="s">
        <v>12</v>
      </c>
      <c r="F469" s="25">
        <v>64683.7</v>
      </c>
      <c r="G469" s="4">
        <v>45731</v>
      </c>
      <c r="H469" s="4">
        <v>42641</v>
      </c>
      <c r="I469" s="1" t="s">
        <v>1604</v>
      </c>
      <c r="J469" s="7" t="s">
        <v>1605</v>
      </c>
      <c r="K469" s="17">
        <v>106</v>
      </c>
      <c r="L469" t="str">
        <f ca="1">+IF(TODAY()-ICETEX[[#This Row],[fecha_ultimo_movimiento]]&gt;360,"Inactivo","Activo")</f>
        <v>Activo</v>
      </c>
      <c r="M469" s="24">
        <f>+VLOOKUP(ICETEX[[#This Row],[fecha_ultimo_movimiento]],UVR!A:B,2,0)</f>
        <v>382.56619999999998</v>
      </c>
      <c r="N469" s="24">
        <v>169</v>
      </c>
      <c r="O469" t="s">
        <v>3264</v>
      </c>
    </row>
    <row r="470" spans="1:15" ht="15" thickBot="1">
      <c r="A470" s="6">
        <v>469</v>
      </c>
      <c r="B470" s="1" t="s">
        <v>1606</v>
      </c>
      <c r="C470" s="1" t="s">
        <v>1607</v>
      </c>
      <c r="D470" s="2">
        <v>73904188</v>
      </c>
      <c r="E470" s="1" t="s">
        <v>45</v>
      </c>
      <c r="F470" s="25">
        <v>188032.19</v>
      </c>
      <c r="G470" s="4">
        <v>44630</v>
      </c>
      <c r="H470" s="4">
        <v>42511</v>
      </c>
      <c r="I470" s="1" t="s">
        <v>21</v>
      </c>
      <c r="J470" s="7" t="s">
        <v>1608</v>
      </c>
      <c r="K470" s="17">
        <v>1207</v>
      </c>
      <c r="L470" t="str">
        <f ca="1">+IF(TODAY()-ICETEX[[#This Row],[fecha_ultimo_movimiento]]&gt;360,"Inactivo","Activo")</f>
        <v>Inactivo</v>
      </c>
      <c r="M470" s="24">
        <f>+VLOOKUP(ICETEX[[#This Row],[fecha_ultimo_movimiento]],UVR!A:B,2,0)</f>
        <v>295.42039999999997</v>
      </c>
      <c r="N470" s="24">
        <v>636</v>
      </c>
      <c r="O470" t="s">
        <v>3264</v>
      </c>
    </row>
    <row r="471" spans="1:15" ht="15" thickBot="1">
      <c r="A471" s="6">
        <v>470</v>
      </c>
      <c r="B471" s="1" t="s">
        <v>1609</v>
      </c>
      <c r="C471" s="1" t="s">
        <v>1610</v>
      </c>
      <c r="D471" s="2">
        <v>211872959</v>
      </c>
      <c r="E471" s="1" t="s">
        <v>45</v>
      </c>
      <c r="F471" s="25">
        <v>41045.21</v>
      </c>
      <c r="G471" s="4">
        <v>44900</v>
      </c>
      <c r="H471" s="4">
        <v>43261</v>
      </c>
      <c r="I471" s="1" t="s">
        <v>341</v>
      </c>
      <c r="J471" s="7" t="s">
        <v>1611</v>
      </c>
      <c r="K471" s="17">
        <v>937</v>
      </c>
      <c r="L471" t="str">
        <f ca="1">+IF(TODAY()-ICETEX[[#This Row],[fecha_ultimo_movimiento]]&gt;360,"Inactivo","Activo")</f>
        <v>Inactivo</v>
      </c>
      <c r="M471" s="24">
        <f>+VLOOKUP(ICETEX[[#This Row],[fecha_ultimo_movimiento]],UVR!A:B,2,0)</f>
        <v>322.33980000000003</v>
      </c>
      <c r="N471" s="24">
        <v>127</v>
      </c>
      <c r="O471" t="s">
        <v>3265</v>
      </c>
    </row>
    <row r="472" spans="1:15" ht="15" thickBot="1">
      <c r="A472" s="6">
        <v>471</v>
      </c>
      <c r="B472" s="1" t="s">
        <v>1612</v>
      </c>
      <c r="C472" s="1" t="s">
        <v>1613</v>
      </c>
      <c r="D472" s="2">
        <v>53208066</v>
      </c>
      <c r="E472" s="1" t="s">
        <v>12</v>
      </c>
      <c r="F472" s="25">
        <v>170997.73</v>
      </c>
      <c r="G472" s="4">
        <v>44062</v>
      </c>
      <c r="H472" s="4">
        <v>42945</v>
      </c>
      <c r="I472" s="1" t="s">
        <v>401</v>
      </c>
      <c r="J472" s="7" t="s">
        <v>1614</v>
      </c>
      <c r="K472" s="17">
        <v>1775</v>
      </c>
      <c r="L472" t="str">
        <f ca="1">+IF(TODAY()-ICETEX[[#This Row],[fecha_ultimo_movimiento]]&gt;360,"Inactivo","Activo")</f>
        <v>Inactivo</v>
      </c>
      <c r="M472" s="24">
        <f>+VLOOKUP(ICETEX[[#This Row],[fecha_ultimo_movimiento]],UVR!A:B,2,0)</f>
        <v>274.58999999999997</v>
      </c>
      <c r="N472" s="24">
        <v>623</v>
      </c>
      <c r="O472" t="s">
        <v>3264</v>
      </c>
    </row>
    <row r="473" spans="1:15" ht="15" thickBot="1">
      <c r="A473" s="6">
        <v>472</v>
      </c>
      <c r="B473" s="1" t="s">
        <v>374</v>
      </c>
      <c r="C473" s="1" t="s">
        <v>1615</v>
      </c>
      <c r="D473" s="2">
        <v>265270222</v>
      </c>
      <c r="E473" s="1" t="s">
        <v>45</v>
      </c>
      <c r="F473" s="25">
        <v>122498.49</v>
      </c>
      <c r="G473" s="4">
        <v>44245</v>
      </c>
      <c r="H473" s="4">
        <v>42981</v>
      </c>
      <c r="I473" s="1" t="s">
        <v>847</v>
      </c>
      <c r="J473" s="7" t="s">
        <v>1616</v>
      </c>
      <c r="K473" s="17">
        <v>1592</v>
      </c>
      <c r="L473" t="str">
        <f ca="1">+IF(TODAY()-ICETEX[[#This Row],[fecha_ultimo_movimiento]]&gt;360,"Inactivo","Activo")</f>
        <v>Inactivo</v>
      </c>
      <c r="M473" s="24">
        <f>+VLOOKUP(ICETEX[[#This Row],[fecha_ultimo_movimiento]],UVR!A:B,2,0)</f>
        <v>276.02839999999998</v>
      </c>
      <c r="N473" s="24">
        <v>444</v>
      </c>
      <c r="O473" t="s">
        <v>3264</v>
      </c>
    </row>
    <row r="474" spans="1:15" ht="15" thickBot="1">
      <c r="A474" s="6">
        <v>473</v>
      </c>
      <c r="B474" s="1" t="s">
        <v>1617</v>
      </c>
      <c r="C474" s="1" t="s">
        <v>1618</v>
      </c>
      <c r="D474" s="2">
        <v>83905546</v>
      </c>
      <c r="E474" s="1" t="s">
        <v>12</v>
      </c>
      <c r="F474" s="25">
        <v>140627.1</v>
      </c>
      <c r="G474" s="4">
        <v>45203</v>
      </c>
      <c r="H474" s="4">
        <v>42766</v>
      </c>
      <c r="I474" s="1" t="s">
        <v>972</v>
      </c>
      <c r="J474" s="7" t="s">
        <v>1619</v>
      </c>
      <c r="K474" s="17">
        <v>634</v>
      </c>
      <c r="L474" t="str">
        <f ca="1">+IF(TODAY()-ICETEX[[#This Row],[fecha_ultimo_movimiento]]&gt;360,"Inactivo","Activo")</f>
        <v>Inactivo</v>
      </c>
      <c r="M474" s="24">
        <f>+VLOOKUP(ICETEX[[#This Row],[fecha_ultimo_movimiento]],UVR!A:B,2,0)</f>
        <v>353.25979999999998</v>
      </c>
      <c r="N474" s="24">
        <v>398</v>
      </c>
      <c r="O474" t="s">
        <v>3264</v>
      </c>
    </row>
    <row r="475" spans="1:15" ht="15" thickBot="1">
      <c r="A475" s="6">
        <v>474</v>
      </c>
      <c r="B475" s="1" t="s">
        <v>1620</v>
      </c>
      <c r="C475" s="1" t="s">
        <v>1621</v>
      </c>
      <c r="D475" s="2">
        <v>121135773</v>
      </c>
      <c r="E475" s="1" t="s">
        <v>45</v>
      </c>
      <c r="F475" s="25">
        <v>113370.71</v>
      </c>
      <c r="G475" s="4">
        <v>44769</v>
      </c>
      <c r="H475" s="4">
        <v>42424</v>
      </c>
      <c r="I475" s="1" t="s">
        <v>1622</v>
      </c>
      <c r="J475" s="7" t="s">
        <v>1623</v>
      </c>
      <c r="K475" s="17">
        <v>1068</v>
      </c>
      <c r="L475" t="str">
        <f ca="1">+IF(TODAY()-ICETEX[[#This Row],[fecha_ultimo_movimiento]]&gt;360,"Inactivo","Activo")</f>
        <v>Inactivo</v>
      </c>
      <c r="M475" s="24">
        <f>+VLOOKUP(ICETEX[[#This Row],[fecha_ultimo_movimiento]],UVR!A:B,2,0)</f>
        <v>311.13679999999999</v>
      </c>
      <c r="N475" s="24">
        <v>364</v>
      </c>
      <c r="O475" t="s">
        <v>3264</v>
      </c>
    </row>
    <row r="476" spans="1:15" ht="15" thickBot="1">
      <c r="A476" s="6">
        <v>475</v>
      </c>
      <c r="B476" s="1" t="s">
        <v>1624</v>
      </c>
      <c r="C476" s="1" t="s">
        <v>1625</v>
      </c>
      <c r="D476" s="2">
        <v>74913233</v>
      </c>
      <c r="E476" s="1" t="s">
        <v>12</v>
      </c>
      <c r="F476" s="25">
        <v>217658.29</v>
      </c>
      <c r="G476" s="4">
        <v>43896</v>
      </c>
      <c r="H476" s="4">
        <v>42919</v>
      </c>
      <c r="I476" s="1" t="s">
        <v>127</v>
      </c>
      <c r="J476" s="8" t="s">
        <v>1626</v>
      </c>
      <c r="K476" s="17">
        <v>1941</v>
      </c>
      <c r="L476" t="str">
        <f ca="1">+IF(TODAY()-ICETEX[[#This Row],[fecha_ultimo_movimiento]]&gt;360,"Inactivo","Activo")</f>
        <v>Inactivo</v>
      </c>
      <c r="M476" s="24">
        <f>+VLOOKUP(ICETEX[[#This Row],[fecha_ultimo_movimiento]],UVR!A:B,2,0)</f>
        <v>272.33440000000002</v>
      </c>
      <c r="N476" s="24">
        <v>799</v>
      </c>
      <c r="O476" t="s">
        <v>3264</v>
      </c>
    </row>
    <row r="477" spans="1:15" ht="15" thickBot="1">
      <c r="A477" s="6">
        <v>476</v>
      </c>
      <c r="B477" s="1" t="s">
        <v>1627</v>
      </c>
      <c r="C477" s="1" t="s">
        <v>1628</v>
      </c>
      <c r="D477" s="2">
        <v>211170114</v>
      </c>
      <c r="E477" s="1" t="s">
        <v>12</v>
      </c>
      <c r="F477" s="25">
        <v>182296.19</v>
      </c>
      <c r="G477" s="4">
        <v>44571</v>
      </c>
      <c r="H477" s="4">
        <v>43102</v>
      </c>
      <c r="I477" s="1" t="s">
        <v>1374</v>
      </c>
      <c r="J477" s="7" t="s">
        <v>1629</v>
      </c>
      <c r="K477" s="17">
        <v>1266</v>
      </c>
      <c r="L477" t="str">
        <f ca="1">+IF(TODAY()-ICETEX[[#This Row],[fecha_ultimo_movimiento]]&gt;360,"Inactivo","Activo")</f>
        <v>Inactivo</v>
      </c>
      <c r="M477" s="24">
        <f>+VLOOKUP(ICETEX[[#This Row],[fecha_ultimo_movimiento]],UVR!A:B,2,0)</f>
        <v>289.0838</v>
      </c>
      <c r="N477" s="24">
        <v>631</v>
      </c>
      <c r="O477" t="s">
        <v>3264</v>
      </c>
    </row>
    <row r="478" spans="1:15" ht="15" thickBot="1">
      <c r="A478" s="6">
        <v>477</v>
      </c>
      <c r="B478" s="1" t="s">
        <v>1630</v>
      </c>
      <c r="C478" s="1" t="s">
        <v>1631</v>
      </c>
      <c r="D478" s="2">
        <v>111103317</v>
      </c>
      <c r="E478" s="1" t="s">
        <v>45</v>
      </c>
      <c r="F478" s="25">
        <v>87590.38</v>
      </c>
      <c r="G478" s="4">
        <v>44069</v>
      </c>
      <c r="H478" s="4">
        <v>42806</v>
      </c>
      <c r="I478" s="1" t="s">
        <v>13</v>
      </c>
      <c r="J478" s="7" t="s">
        <v>1632</v>
      </c>
      <c r="K478" s="17">
        <v>1768</v>
      </c>
      <c r="L478" t="str">
        <f ca="1">+IF(TODAY()-ICETEX[[#This Row],[fecha_ultimo_movimiento]]&gt;360,"Inactivo","Activo")</f>
        <v>Inactivo</v>
      </c>
      <c r="M478" s="24">
        <f>+VLOOKUP(ICETEX[[#This Row],[fecha_ultimo_movimiento]],UVR!A:B,2,0)</f>
        <v>274.58999999999997</v>
      </c>
      <c r="N478" s="24">
        <v>319</v>
      </c>
      <c r="O478" t="s">
        <v>3265</v>
      </c>
    </row>
    <row r="479" spans="1:15" ht="15" thickBot="1">
      <c r="A479" s="6">
        <v>478</v>
      </c>
      <c r="B479" s="1" t="s">
        <v>1633</v>
      </c>
      <c r="C479" s="1" t="s">
        <v>1634</v>
      </c>
      <c r="D479" s="2">
        <v>91216612</v>
      </c>
      <c r="E479" s="1" t="s">
        <v>12</v>
      </c>
      <c r="F479" s="25">
        <v>12005.92</v>
      </c>
      <c r="G479" s="4">
        <v>44859</v>
      </c>
      <c r="H479" s="4">
        <v>42582</v>
      </c>
      <c r="I479" s="1" t="s">
        <v>1635</v>
      </c>
      <c r="J479" s="7" t="s">
        <v>1636</v>
      </c>
      <c r="K479" s="17">
        <v>978</v>
      </c>
      <c r="L479" t="str">
        <f ca="1">+IF(TODAY()-ICETEX[[#This Row],[fecha_ultimo_movimiento]]&gt;360,"Inactivo","Activo")</f>
        <v>Inactivo</v>
      </c>
      <c r="M479" s="24">
        <f>+VLOOKUP(ICETEX[[#This Row],[fecha_ultimo_movimiento]],UVR!A:B,2,0)</f>
        <v>318.79629999999997</v>
      </c>
      <c r="N479" s="24">
        <v>38</v>
      </c>
      <c r="O479" t="s">
        <v>3265</v>
      </c>
    </row>
    <row r="480" spans="1:15" ht="15" thickBot="1">
      <c r="A480" s="6">
        <v>479</v>
      </c>
      <c r="B480" s="1" t="s">
        <v>1637</v>
      </c>
      <c r="C480" s="1" t="s">
        <v>1638</v>
      </c>
      <c r="D480" s="2">
        <v>51403517</v>
      </c>
      <c r="E480" s="1" t="s">
        <v>45</v>
      </c>
      <c r="F480" s="25">
        <v>149039.45000000001</v>
      </c>
      <c r="G480" s="4">
        <v>44475</v>
      </c>
      <c r="H480" s="4">
        <v>42679</v>
      </c>
      <c r="I480" s="1" t="s">
        <v>147</v>
      </c>
      <c r="J480" s="7" t="s">
        <v>1639</v>
      </c>
      <c r="K480" s="17">
        <v>1362</v>
      </c>
      <c r="L480" t="str">
        <f ca="1">+IF(TODAY()-ICETEX[[#This Row],[fecha_ultimo_movimiento]]&gt;360,"Inactivo","Activo")</f>
        <v>Inactivo</v>
      </c>
      <c r="M480" s="24">
        <f>+VLOOKUP(ICETEX[[#This Row],[fecha_ultimo_movimiento]],UVR!A:B,2,0)</f>
        <v>286.37259999999998</v>
      </c>
      <c r="N480" s="24">
        <v>520</v>
      </c>
      <c r="O480" t="s">
        <v>3264</v>
      </c>
    </row>
    <row r="481" spans="1:15" ht="15" thickBot="1">
      <c r="A481" s="6">
        <v>480</v>
      </c>
      <c r="B481" s="1" t="s">
        <v>1640</v>
      </c>
      <c r="C481" s="1" t="s">
        <v>1641</v>
      </c>
      <c r="D481" s="2">
        <v>62102292</v>
      </c>
      <c r="E481" s="1" t="s">
        <v>12</v>
      </c>
      <c r="F481" s="25">
        <v>151274.09</v>
      </c>
      <c r="G481" s="4">
        <v>44133</v>
      </c>
      <c r="H481" s="4">
        <v>43067</v>
      </c>
      <c r="I481" s="1" t="s">
        <v>1642</v>
      </c>
      <c r="J481" s="7" t="s">
        <v>1643</v>
      </c>
      <c r="K481" s="17">
        <v>1704</v>
      </c>
      <c r="L481" t="str">
        <f ca="1">+IF(TODAY()-ICETEX[[#This Row],[fecha_ultimo_movimiento]]&gt;360,"Inactivo","Activo")</f>
        <v>Inactivo</v>
      </c>
      <c r="M481" s="24">
        <f>+VLOOKUP(ICETEX[[#This Row],[fecha_ultimo_movimiento]],UVR!A:B,2,0)</f>
        <v>274.95890000000003</v>
      </c>
      <c r="N481" s="24">
        <v>550</v>
      </c>
      <c r="O481" t="s">
        <v>3264</v>
      </c>
    </row>
    <row r="482" spans="1:15" ht="15" thickBot="1">
      <c r="A482" s="6">
        <v>481</v>
      </c>
      <c r="B482" s="1" t="s">
        <v>1644</v>
      </c>
      <c r="C482" s="1" t="s">
        <v>1645</v>
      </c>
      <c r="D482" s="2">
        <v>111324895</v>
      </c>
      <c r="E482" s="1" t="s">
        <v>12</v>
      </c>
      <c r="F482" s="25">
        <v>182990.3</v>
      </c>
      <c r="G482" s="4">
        <v>45308</v>
      </c>
      <c r="H482" s="4">
        <v>42631</v>
      </c>
      <c r="I482" s="1" t="s">
        <v>1646</v>
      </c>
      <c r="J482" s="7" t="s">
        <v>1647</v>
      </c>
      <c r="K482" s="17">
        <v>529</v>
      </c>
      <c r="L482" t="str">
        <f ca="1">+IF(TODAY()-ICETEX[[#This Row],[fecha_ultimo_movimiento]]&gt;360,"Inactivo","Activo")</f>
        <v>Inactivo</v>
      </c>
      <c r="M482" s="24">
        <f>+VLOOKUP(ICETEX[[#This Row],[fecha_ultimo_movimiento]],UVR!A:B,2,0)</f>
        <v>358.74880000000002</v>
      </c>
      <c r="N482" s="24">
        <v>510</v>
      </c>
      <c r="O482" t="s">
        <v>3264</v>
      </c>
    </row>
    <row r="483" spans="1:15" ht="15" thickBot="1">
      <c r="A483" s="6">
        <v>482</v>
      </c>
      <c r="B483" s="1" t="s">
        <v>1648</v>
      </c>
      <c r="C483" s="1" t="s">
        <v>1649</v>
      </c>
      <c r="D483" s="2">
        <v>75911373</v>
      </c>
      <c r="E483" s="1" t="s">
        <v>45</v>
      </c>
      <c r="F483" s="25">
        <v>57173.52</v>
      </c>
      <c r="G483" s="4">
        <v>45111</v>
      </c>
      <c r="H483" s="4">
        <v>43021</v>
      </c>
      <c r="I483" s="1" t="s">
        <v>1650</v>
      </c>
      <c r="J483" s="7" t="s">
        <v>1651</v>
      </c>
      <c r="K483" s="17">
        <v>726</v>
      </c>
      <c r="L483" t="str">
        <f ca="1">+IF(TODAY()-ICETEX[[#This Row],[fecha_ultimo_movimiento]]&gt;360,"Inactivo","Activo")</f>
        <v>Inactivo</v>
      </c>
      <c r="M483" s="24">
        <f>+VLOOKUP(ICETEX[[#This Row],[fecha_ultimo_movimiento]],UVR!A:B,2,0)</f>
        <v>348.35759999999999</v>
      </c>
      <c r="N483" s="24">
        <v>164</v>
      </c>
      <c r="O483" t="s">
        <v>3265</v>
      </c>
    </row>
    <row r="484" spans="1:15" ht="15" thickBot="1">
      <c r="A484" s="6">
        <v>483</v>
      </c>
      <c r="B484" s="1" t="s">
        <v>1652</v>
      </c>
      <c r="C484" s="1" t="s">
        <v>410</v>
      </c>
      <c r="D484" s="2">
        <v>226070856</v>
      </c>
      <c r="E484" s="1" t="s">
        <v>12</v>
      </c>
      <c r="F484" s="25">
        <v>119556.69</v>
      </c>
      <c r="G484" s="4">
        <v>44736</v>
      </c>
      <c r="H484" s="4">
        <v>43033</v>
      </c>
      <c r="I484" s="1" t="s">
        <v>13</v>
      </c>
      <c r="J484" s="7" t="s">
        <v>1653</v>
      </c>
      <c r="K484" s="17">
        <v>1101</v>
      </c>
      <c r="L484" t="str">
        <f ca="1">+IF(TODAY()-ICETEX[[#This Row],[fecha_ultimo_movimiento]]&gt;360,"Inactivo","Activo")</f>
        <v>Inactivo</v>
      </c>
      <c r="M484" s="24">
        <f>+VLOOKUP(ICETEX[[#This Row],[fecha_ultimo_movimiento]],UVR!A:B,2,0)</f>
        <v>308.71170000000001</v>
      </c>
      <c r="N484" s="24">
        <v>387</v>
      </c>
      <c r="O484" t="s">
        <v>3264</v>
      </c>
    </row>
    <row r="485" spans="1:15" ht="15" thickBot="1">
      <c r="A485" s="6">
        <v>484</v>
      </c>
      <c r="B485" s="1" t="s">
        <v>1654</v>
      </c>
      <c r="C485" s="1" t="s">
        <v>1655</v>
      </c>
      <c r="D485" s="2">
        <v>75000103</v>
      </c>
      <c r="E485" s="1" t="s">
        <v>12</v>
      </c>
      <c r="F485" s="25">
        <v>133321.13</v>
      </c>
      <c r="G485" s="4">
        <v>45053</v>
      </c>
      <c r="H485" s="4">
        <v>43165</v>
      </c>
      <c r="I485" s="1" t="s">
        <v>330</v>
      </c>
      <c r="J485" s="7" t="s">
        <v>1656</v>
      </c>
      <c r="K485" s="17">
        <v>784</v>
      </c>
      <c r="L485" t="str">
        <f ca="1">+IF(TODAY()-ICETEX[[#This Row],[fecha_ultimo_movimiento]]&gt;360,"Inactivo","Activo")</f>
        <v>Inactivo</v>
      </c>
      <c r="M485" s="24">
        <f>+VLOOKUP(ICETEX[[#This Row],[fecha_ultimo_movimiento]],UVR!A:B,2,0)</f>
        <v>343.7645</v>
      </c>
      <c r="N485" s="24">
        <v>388</v>
      </c>
      <c r="O485" t="s">
        <v>3264</v>
      </c>
    </row>
    <row r="486" spans="1:15" ht="15" thickBot="1">
      <c r="A486" s="6">
        <v>485</v>
      </c>
      <c r="B486" s="1" t="s">
        <v>1657</v>
      </c>
      <c r="C486" s="1" t="s">
        <v>1658</v>
      </c>
      <c r="D486" s="2">
        <v>283079214</v>
      </c>
      <c r="E486" s="1" t="s">
        <v>45</v>
      </c>
      <c r="F486" s="25">
        <v>157820.66</v>
      </c>
      <c r="G486" s="4">
        <v>44144</v>
      </c>
      <c r="H486" s="4">
        <v>42414</v>
      </c>
      <c r="I486" s="1" t="s">
        <v>1659</v>
      </c>
      <c r="J486" s="7" t="s">
        <v>1660</v>
      </c>
      <c r="K486" s="17">
        <v>1693</v>
      </c>
      <c r="L486" t="str">
        <f ca="1">+IF(TODAY()-ICETEX[[#This Row],[fecha_ultimo_movimiento]]&gt;360,"Inactivo","Activo")</f>
        <v>Inactivo</v>
      </c>
      <c r="M486" s="24">
        <f>+VLOOKUP(ICETEX[[#This Row],[fecha_ultimo_movimiento]],UVR!A:B,2,0)</f>
        <v>275.27080000000001</v>
      </c>
      <c r="N486" s="24">
        <v>573</v>
      </c>
      <c r="O486" t="s">
        <v>3264</v>
      </c>
    </row>
    <row r="487" spans="1:15" ht="15" thickBot="1">
      <c r="A487" s="6">
        <v>486</v>
      </c>
      <c r="B487" s="1" t="s">
        <v>1661</v>
      </c>
      <c r="C487" s="1" t="s">
        <v>1662</v>
      </c>
      <c r="D487" s="2">
        <v>104905836</v>
      </c>
      <c r="E487" s="1" t="s">
        <v>45</v>
      </c>
      <c r="F487" s="25">
        <v>96299.13</v>
      </c>
      <c r="G487" s="4">
        <v>43844</v>
      </c>
      <c r="H487" s="4">
        <v>43278</v>
      </c>
      <c r="I487" s="1" t="s">
        <v>1663</v>
      </c>
      <c r="J487" s="8" t="s">
        <v>1664</v>
      </c>
      <c r="K487" s="17">
        <v>1993</v>
      </c>
      <c r="L487" t="str">
        <f ca="1">+IF(TODAY()-ICETEX[[#This Row],[fecha_ultimo_movimiento]]&gt;360,"Inactivo","Activo")</f>
        <v>Inactivo</v>
      </c>
      <c r="M487" s="24">
        <f>+VLOOKUP(ICETEX[[#This Row],[fecha_ultimo_movimiento]],UVR!A:B,2,0)</f>
        <v>270.83539999999999</v>
      </c>
      <c r="N487" s="24">
        <v>356</v>
      </c>
      <c r="O487" t="s">
        <v>3264</v>
      </c>
    </row>
    <row r="488" spans="1:15" ht="15" thickBot="1">
      <c r="A488" s="6">
        <v>487</v>
      </c>
      <c r="B488" s="1" t="s">
        <v>1665</v>
      </c>
      <c r="C488" s="1" t="s">
        <v>1666</v>
      </c>
      <c r="D488" s="2">
        <v>31306168</v>
      </c>
      <c r="E488" s="1" t="s">
        <v>12</v>
      </c>
      <c r="F488" s="25">
        <v>194485.08</v>
      </c>
      <c r="G488" s="4">
        <v>44015</v>
      </c>
      <c r="H488" s="4">
        <v>42775</v>
      </c>
      <c r="I488" s="1" t="s">
        <v>88</v>
      </c>
      <c r="J488" s="7" t="s">
        <v>1667</v>
      </c>
      <c r="K488" s="17">
        <v>1822</v>
      </c>
      <c r="L488" t="str">
        <f ca="1">+IF(TODAY()-ICETEX[[#This Row],[fecha_ultimo_movimiento]]&gt;360,"Inactivo","Activo")</f>
        <v>Inactivo</v>
      </c>
      <c r="M488" s="24">
        <f>+VLOOKUP(ICETEX[[#This Row],[fecha_ultimo_movimiento]],UVR!A:B,2,0)</f>
        <v>275.99099999999999</v>
      </c>
      <c r="N488" s="24">
        <v>705</v>
      </c>
      <c r="O488" t="s">
        <v>3264</v>
      </c>
    </row>
    <row r="489" spans="1:15" ht="15" thickBot="1">
      <c r="A489" s="6">
        <v>488</v>
      </c>
      <c r="B489" s="1" t="s">
        <v>1668</v>
      </c>
      <c r="C489" s="1" t="s">
        <v>1669</v>
      </c>
      <c r="D489" s="2">
        <v>63114946</v>
      </c>
      <c r="E489" s="1" t="s">
        <v>45</v>
      </c>
      <c r="F489" s="25">
        <v>47454.11</v>
      </c>
      <c r="G489" s="4">
        <v>44553</v>
      </c>
      <c r="H489" s="4">
        <v>42996</v>
      </c>
      <c r="I489" s="1" t="s">
        <v>1670</v>
      </c>
      <c r="J489" s="7" t="s">
        <v>1671</v>
      </c>
      <c r="K489" s="17">
        <v>1284</v>
      </c>
      <c r="L489" t="str">
        <f ca="1">+IF(TODAY()-ICETEX[[#This Row],[fecha_ultimo_movimiento]]&gt;360,"Inactivo","Activo")</f>
        <v>Inactivo</v>
      </c>
      <c r="M489" s="24">
        <f>+VLOOKUP(ICETEX[[#This Row],[fecha_ultimo_movimiento]],UVR!A:B,2,0)</f>
        <v>288.24790000000002</v>
      </c>
      <c r="N489" s="24">
        <v>165</v>
      </c>
      <c r="O489" t="s">
        <v>3265</v>
      </c>
    </row>
    <row r="490" spans="1:15" ht="15" thickBot="1">
      <c r="A490" s="6">
        <v>489</v>
      </c>
      <c r="B490" s="1" t="s">
        <v>1672</v>
      </c>
      <c r="C490" s="1" t="s">
        <v>1673</v>
      </c>
      <c r="D490" s="2">
        <v>71001588</v>
      </c>
      <c r="E490" s="1" t="s">
        <v>12</v>
      </c>
      <c r="F490" s="25">
        <v>16159.42</v>
      </c>
      <c r="G490" s="4">
        <v>44331</v>
      </c>
      <c r="H490" s="4">
        <v>42924</v>
      </c>
      <c r="I490" s="1" t="s">
        <v>50</v>
      </c>
      <c r="J490" s="7" t="s">
        <v>1674</v>
      </c>
      <c r="K490" s="17">
        <v>1506</v>
      </c>
      <c r="L490" t="str">
        <f ca="1">+IF(TODAY()-ICETEX[[#This Row],[fecha_ultimo_movimiento]]&gt;360,"Inactivo","Activo")</f>
        <v>Inactivo</v>
      </c>
      <c r="M490" s="24">
        <f>+VLOOKUP(ICETEX[[#This Row],[fecha_ultimo_movimiento]],UVR!A:B,2,0)</f>
        <v>280.23349999999999</v>
      </c>
      <c r="N490" s="24">
        <v>58</v>
      </c>
      <c r="O490" t="s">
        <v>3265</v>
      </c>
    </row>
    <row r="491" spans="1:15" ht="15" thickBot="1">
      <c r="A491" s="6">
        <v>490</v>
      </c>
      <c r="B491" s="1" t="s">
        <v>1675</v>
      </c>
      <c r="C491" s="1" t="s">
        <v>1676</v>
      </c>
      <c r="D491" s="2">
        <v>67016037</v>
      </c>
      <c r="E491" s="1" t="s">
        <v>12</v>
      </c>
      <c r="F491" s="25">
        <v>144795.32999999999</v>
      </c>
      <c r="G491" s="4">
        <v>44960</v>
      </c>
      <c r="H491" s="4">
        <v>43289</v>
      </c>
      <c r="I491" s="1" t="s">
        <v>629</v>
      </c>
      <c r="J491" s="7" t="s">
        <v>1677</v>
      </c>
      <c r="K491" s="17">
        <v>877</v>
      </c>
      <c r="L491" t="str">
        <f ca="1">+IF(TODAY()-ICETEX[[#This Row],[fecha_ultimo_movimiento]]&gt;360,"Inactivo","Activo")</f>
        <v>Inactivo</v>
      </c>
      <c r="M491" s="24">
        <f>+VLOOKUP(ICETEX[[#This Row],[fecha_ultimo_movimiento]],UVR!A:B,2,0)</f>
        <v>328.108</v>
      </c>
      <c r="N491" s="24">
        <v>441</v>
      </c>
      <c r="O491" t="s">
        <v>3264</v>
      </c>
    </row>
    <row r="492" spans="1:15" ht="15" thickBot="1">
      <c r="A492" s="6">
        <v>491</v>
      </c>
      <c r="B492" s="1" t="s">
        <v>1678</v>
      </c>
      <c r="C492" s="1" t="s">
        <v>1679</v>
      </c>
      <c r="D492" s="2">
        <v>256072701</v>
      </c>
      <c r="E492" s="1" t="s">
        <v>45</v>
      </c>
      <c r="F492" s="25">
        <v>30479.86</v>
      </c>
      <c r="G492" s="4">
        <v>45181</v>
      </c>
      <c r="H492" s="4">
        <v>43302</v>
      </c>
      <c r="I492" s="1" t="s">
        <v>217</v>
      </c>
      <c r="J492" s="7" t="s">
        <v>1680</v>
      </c>
      <c r="K492" s="17">
        <v>656</v>
      </c>
      <c r="L492" t="str">
        <f ca="1">+IF(TODAY()-ICETEX[[#This Row],[fecha_ultimo_movimiento]]&gt;360,"Inactivo","Activo")</f>
        <v>Inactivo</v>
      </c>
      <c r="M492" s="24">
        <f>+VLOOKUP(ICETEX[[#This Row],[fecha_ultimo_movimiento]],UVR!A:B,2,0)</f>
        <v>351.53289999999998</v>
      </c>
      <c r="N492" s="24">
        <v>87</v>
      </c>
      <c r="O492" t="s">
        <v>3265</v>
      </c>
    </row>
    <row r="493" spans="1:15" ht="15" thickBot="1">
      <c r="A493" s="6">
        <v>492</v>
      </c>
      <c r="B493" s="1" t="s">
        <v>1681</v>
      </c>
      <c r="C493" s="1" t="s">
        <v>1682</v>
      </c>
      <c r="D493" s="2">
        <v>84202248</v>
      </c>
      <c r="E493" s="1" t="s">
        <v>45</v>
      </c>
      <c r="F493" s="25">
        <v>165977.88</v>
      </c>
      <c r="G493" s="4">
        <v>44475</v>
      </c>
      <c r="H493" s="4">
        <v>42786</v>
      </c>
      <c r="I493" s="1" t="s">
        <v>135</v>
      </c>
      <c r="J493" s="7" t="s">
        <v>1683</v>
      </c>
      <c r="K493" s="17">
        <v>1362</v>
      </c>
      <c r="L493" t="str">
        <f ca="1">+IF(TODAY()-ICETEX[[#This Row],[fecha_ultimo_movimiento]]&gt;360,"Inactivo","Activo")</f>
        <v>Inactivo</v>
      </c>
      <c r="M493" s="24">
        <f>+VLOOKUP(ICETEX[[#This Row],[fecha_ultimo_movimiento]],UVR!A:B,2,0)</f>
        <v>286.37259999999998</v>
      </c>
      <c r="N493" s="24">
        <v>580</v>
      </c>
      <c r="O493" t="s">
        <v>3264</v>
      </c>
    </row>
    <row r="494" spans="1:15" ht="15" thickBot="1">
      <c r="A494" s="6">
        <v>493</v>
      </c>
      <c r="B494" s="1" t="s">
        <v>1684</v>
      </c>
      <c r="C494" s="1" t="s">
        <v>1685</v>
      </c>
      <c r="D494" s="2">
        <v>74903337</v>
      </c>
      <c r="E494" s="1" t="s">
        <v>12</v>
      </c>
      <c r="F494" s="25">
        <v>100652.15</v>
      </c>
      <c r="G494" s="4">
        <v>43938</v>
      </c>
      <c r="H494" s="4">
        <v>43115</v>
      </c>
      <c r="I494" s="1" t="s">
        <v>1686</v>
      </c>
      <c r="J494" s="7" t="s">
        <v>1687</v>
      </c>
      <c r="K494" s="17">
        <v>1899</v>
      </c>
      <c r="L494" t="str">
        <f ca="1">+IF(TODAY()-ICETEX[[#This Row],[fecha_ultimo_movimiento]]&gt;360,"Inactivo","Activo")</f>
        <v>Inactivo</v>
      </c>
      <c r="M494" s="24">
        <f>+VLOOKUP(ICETEX[[#This Row],[fecha_ultimo_movimiento]],UVR!A:B,2,0)</f>
        <v>274.61989999999997</v>
      </c>
      <c r="N494" s="24">
        <v>367</v>
      </c>
      <c r="O494" t="s">
        <v>3264</v>
      </c>
    </row>
    <row r="495" spans="1:15" ht="15" thickBot="1">
      <c r="A495" s="6">
        <v>494</v>
      </c>
      <c r="B495" s="1" t="s">
        <v>1688</v>
      </c>
      <c r="C495" s="1" t="s">
        <v>1689</v>
      </c>
      <c r="D495" s="2">
        <v>71108669</v>
      </c>
      <c r="E495" s="1" t="s">
        <v>12</v>
      </c>
      <c r="F495" s="25">
        <v>126509.43</v>
      </c>
      <c r="G495" s="4">
        <v>44502</v>
      </c>
      <c r="H495" s="4">
        <v>42656</v>
      </c>
      <c r="I495" s="1" t="s">
        <v>1690</v>
      </c>
      <c r="J495" s="7" t="s">
        <v>1691</v>
      </c>
      <c r="K495" s="17">
        <v>1335</v>
      </c>
      <c r="L495" t="str">
        <f ca="1">+IF(TODAY()-ICETEX[[#This Row],[fecha_ultimo_movimiento]]&gt;360,"Inactivo","Activo")</f>
        <v>Inactivo</v>
      </c>
      <c r="M495" s="24">
        <f>+VLOOKUP(ICETEX[[#This Row],[fecha_ultimo_movimiento]],UVR!A:B,2,0)</f>
        <v>287.39080000000001</v>
      </c>
      <c r="N495" s="24">
        <v>440</v>
      </c>
      <c r="O495" t="s">
        <v>3264</v>
      </c>
    </row>
    <row r="496" spans="1:15" ht="15" thickBot="1">
      <c r="A496" s="6">
        <v>495</v>
      </c>
      <c r="B496" s="1" t="s">
        <v>1692</v>
      </c>
      <c r="C496" s="1" t="s">
        <v>1693</v>
      </c>
      <c r="D496" s="2">
        <v>65201349</v>
      </c>
      <c r="E496" s="1" t="s">
        <v>12</v>
      </c>
      <c r="F496" s="25">
        <v>76404.66</v>
      </c>
      <c r="G496" s="4">
        <v>45514</v>
      </c>
      <c r="H496" s="4">
        <v>43370</v>
      </c>
      <c r="I496" s="1" t="s">
        <v>780</v>
      </c>
      <c r="J496" s="7" t="s">
        <v>1694</v>
      </c>
      <c r="K496" s="17">
        <v>323</v>
      </c>
      <c r="L496" t="str">
        <f ca="1">+IF(TODAY()-ICETEX[[#This Row],[fecha_ultimo_movimiento]]&gt;360,"Inactivo","Activo")</f>
        <v>Activo</v>
      </c>
      <c r="M496" s="24">
        <f>+VLOOKUP(ICETEX[[#This Row],[fecha_ultimo_movimiento]],UVR!A:B,2,0)</f>
        <v>374.89659999999998</v>
      </c>
      <c r="N496" s="24">
        <v>204</v>
      </c>
      <c r="O496" t="s">
        <v>3264</v>
      </c>
    </row>
    <row r="497" spans="1:15" ht="15" thickBot="1">
      <c r="A497" s="6">
        <v>496</v>
      </c>
      <c r="B497" s="1" t="s">
        <v>1695</v>
      </c>
      <c r="C497" s="1" t="s">
        <v>1696</v>
      </c>
      <c r="D497" s="2">
        <v>113002296</v>
      </c>
      <c r="E497" s="1" t="s">
        <v>12</v>
      </c>
      <c r="F497" s="25">
        <v>49158.25</v>
      </c>
      <c r="G497" s="4">
        <v>44612</v>
      </c>
      <c r="H497" s="4">
        <v>42816</v>
      </c>
      <c r="I497" s="1" t="s">
        <v>1697</v>
      </c>
      <c r="J497" s="7" t="s">
        <v>1698</v>
      </c>
      <c r="K497" s="17">
        <v>1225</v>
      </c>
      <c r="L497" t="str">
        <f ca="1">+IF(TODAY()-ICETEX[[#This Row],[fecha_ultimo_movimiento]]&gt;360,"Inactivo","Activo")</f>
        <v>Inactivo</v>
      </c>
      <c r="M497" s="24">
        <f>+VLOOKUP(ICETEX[[#This Row],[fecha_ultimo_movimiento]],UVR!A:B,2,0)</f>
        <v>292.29169999999999</v>
      </c>
      <c r="N497" s="24">
        <v>168</v>
      </c>
      <c r="O497" t="s">
        <v>3265</v>
      </c>
    </row>
    <row r="498" spans="1:15" ht="15" thickBot="1">
      <c r="A498" s="6">
        <v>497</v>
      </c>
      <c r="B498" s="1" t="s">
        <v>1699</v>
      </c>
      <c r="C498" s="1" t="s">
        <v>1700</v>
      </c>
      <c r="D498" s="2">
        <v>101114552</v>
      </c>
      <c r="E498" s="1" t="s">
        <v>12</v>
      </c>
      <c r="F498" s="25">
        <v>23857.66</v>
      </c>
      <c r="G498" s="4">
        <v>44852</v>
      </c>
      <c r="H498" s="4">
        <v>43224</v>
      </c>
      <c r="I498" s="1" t="s">
        <v>1701</v>
      </c>
      <c r="J498" s="7" t="s">
        <v>1702</v>
      </c>
      <c r="K498" s="17">
        <v>985</v>
      </c>
      <c r="L498" t="str">
        <f ca="1">+IF(TODAY()-ICETEX[[#This Row],[fecha_ultimo_movimiento]]&gt;360,"Inactivo","Activo")</f>
        <v>Inactivo</v>
      </c>
      <c r="M498" s="24">
        <f>+VLOOKUP(ICETEX[[#This Row],[fecha_ultimo_movimiento]],UVR!A:B,2,0)</f>
        <v>318.13069999999999</v>
      </c>
      <c r="N498" s="24">
        <v>75</v>
      </c>
      <c r="O498" t="s">
        <v>3265</v>
      </c>
    </row>
    <row r="499" spans="1:15" ht="15" thickBot="1">
      <c r="A499" s="6">
        <v>498</v>
      </c>
      <c r="B499" s="1" t="s">
        <v>1703</v>
      </c>
      <c r="C499" s="1" t="s">
        <v>1704</v>
      </c>
      <c r="D499" s="2">
        <v>113024504</v>
      </c>
      <c r="E499" s="1" t="s">
        <v>45</v>
      </c>
      <c r="F499" s="25">
        <v>142690.85</v>
      </c>
      <c r="G499" s="4">
        <v>45770</v>
      </c>
      <c r="H499" s="4">
        <v>42496</v>
      </c>
      <c r="I499" s="1" t="s">
        <v>534</v>
      </c>
      <c r="J499" s="7" t="s">
        <v>1705</v>
      </c>
      <c r="K499" s="17">
        <v>67</v>
      </c>
      <c r="L499" t="str">
        <f ca="1">+IF(TODAY()-ICETEX[[#This Row],[fecha_ultimo_movimiento]]&gt;360,"Inactivo","Activo")</f>
        <v>Activo</v>
      </c>
      <c r="M499" s="24">
        <f>+VLOOKUP(ICETEX[[#This Row],[fecha_ultimo_movimiento]],UVR!A:B,2,0)</f>
        <v>387.46300000000002</v>
      </c>
      <c r="N499" s="24">
        <v>368</v>
      </c>
      <c r="O499" t="s">
        <v>3264</v>
      </c>
    </row>
    <row r="500" spans="1:15" ht="15" thickBot="1">
      <c r="A500" s="6">
        <v>499</v>
      </c>
      <c r="B500" s="1" t="s">
        <v>1706</v>
      </c>
      <c r="C500" s="1" t="s">
        <v>1707</v>
      </c>
      <c r="D500" s="2">
        <v>322275487</v>
      </c>
      <c r="E500" s="1" t="s">
        <v>12</v>
      </c>
      <c r="F500" s="25">
        <v>171904.39</v>
      </c>
      <c r="G500" s="4">
        <v>44686</v>
      </c>
      <c r="H500" s="4">
        <v>42725</v>
      </c>
      <c r="I500" s="1" t="s">
        <v>209</v>
      </c>
      <c r="J500" s="7" t="s">
        <v>1708</v>
      </c>
      <c r="K500" s="17">
        <v>1151</v>
      </c>
      <c r="L500" t="str">
        <f ca="1">+IF(TODAY()-ICETEX[[#This Row],[fecha_ultimo_movimiento]]&gt;360,"Inactivo","Activo")</f>
        <v>Inactivo</v>
      </c>
      <c r="M500" s="24">
        <f>+VLOOKUP(ICETEX[[#This Row],[fecha_ultimo_movimiento]],UVR!A:B,2,0)</f>
        <v>303.12920000000003</v>
      </c>
      <c r="N500" s="24">
        <v>567</v>
      </c>
      <c r="O500" t="s">
        <v>3264</v>
      </c>
    </row>
    <row r="501" spans="1:15" ht="15" thickBot="1">
      <c r="A501" s="6">
        <v>500</v>
      </c>
      <c r="B501" s="1" t="s">
        <v>1709</v>
      </c>
      <c r="C501" s="1" t="s">
        <v>1710</v>
      </c>
      <c r="D501" s="2">
        <v>211370354</v>
      </c>
      <c r="E501" s="1" t="s">
        <v>12</v>
      </c>
      <c r="F501" s="25">
        <v>89119.97</v>
      </c>
      <c r="G501" s="4">
        <v>44885</v>
      </c>
      <c r="H501" s="4">
        <v>42598</v>
      </c>
      <c r="I501" s="1" t="s">
        <v>702</v>
      </c>
      <c r="J501" s="7" t="s">
        <v>1711</v>
      </c>
      <c r="K501" s="17">
        <v>952</v>
      </c>
      <c r="L501" t="str">
        <f ca="1">+IF(TODAY()-ICETEX[[#This Row],[fecha_ultimo_movimiento]]&gt;360,"Inactivo","Activo")</f>
        <v>Inactivo</v>
      </c>
      <c r="M501" s="24">
        <f>+VLOOKUP(ICETEX[[#This Row],[fecha_ultimo_movimiento]],UVR!A:B,2,0)</f>
        <v>321.18560000000002</v>
      </c>
      <c r="N501" s="24">
        <v>277</v>
      </c>
      <c r="O501" t="s">
        <v>3265</v>
      </c>
    </row>
    <row r="502" spans="1:15" ht="15" thickBot="1">
      <c r="A502" s="6">
        <v>501</v>
      </c>
      <c r="B502" s="1" t="s">
        <v>1712</v>
      </c>
      <c r="C502" s="1" t="s">
        <v>1713</v>
      </c>
      <c r="D502" s="2">
        <v>111322813</v>
      </c>
      <c r="E502" s="1" t="s">
        <v>12</v>
      </c>
      <c r="F502" s="25">
        <v>66055.83</v>
      </c>
      <c r="G502" s="4">
        <v>44597</v>
      </c>
      <c r="H502" s="4">
        <v>42611</v>
      </c>
      <c r="I502" s="1" t="s">
        <v>104</v>
      </c>
      <c r="J502" s="7" t="s">
        <v>1714</v>
      </c>
      <c r="K502" s="17">
        <v>1240</v>
      </c>
      <c r="L502" t="str">
        <f ca="1">+IF(TODAY()-ICETEX[[#This Row],[fecha_ultimo_movimiento]]&gt;360,"Inactivo","Activo")</f>
        <v>Inactivo</v>
      </c>
      <c r="M502" s="24">
        <f>+VLOOKUP(ICETEX[[#This Row],[fecha_ultimo_movimiento]],UVR!A:B,2,0)</f>
        <v>290.74549999999999</v>
      </c>
      <c r="N502" s="24">
        <v>227</v>
      </c>
      <c r="O502" t="s">
        <v>3265</v>
      </c>
    </row>
    <row r="503" spans="1:15" ht="15" thickBot="1">
      <c r="A503" s="6">
        <v>502</v>
      </c>
      <c r="B503" s="1" t="s">
        <v>1715</v>
      </c>
      <c r="C503" s="1" t="s">
        <v>1716</v>
      </c>
      <c r="D503" s="2">
        <v>114909013</v>
      </c>
      <c r="E503" s="1" t="s">
        <v>12</v>
      </c>
      <c r="F503" s="25">
        <v>48010.239999999998</v>
      </c>
      <c r="G503" s="4">
        <v>45811</v>
      </c>
      <c r="H503" s="4">
        <v>42864</v>
      </c>
      <c r="I503" s="1" t="s">
        <v>25</v>
      </c>
      <c r="J503" s="7" t="s">
        <v>1717</v>
      </c>
      <c r="K503" s="17">
        <v>26</v>
      </c>
      <c r="L503" t="str">
        <f ca="1">+IF(TODAY()-ICETEX[[#This Row],[fecha_ultimo_movimiento]]&gt;360,"Inactivo","Activo")</f>
        <v>Activo</v>
      </c>
      <c r="M503" s="24">
        <f>+VLOOKUP(ICETEX[[#This Row],[fecha_ultimo_movimiento]],UVR!A:B,2,0)</f>
        <v>390.51080000000002</v>
      </c>
      <c r="N503" s="24">
        <v>123</v>
      </c>
      <c r="O503" t="s">
        <v>3264</v>
      </c>
    </row>
    <row r="504" spans="1:15" ht="15" thickBot="1">
      <c r="A504" s="6">
        <v>503</v>
      </c>
      <c r="B504" s="1" t="s">
        <v>1718</v>
      </c>
      <c r="C504" s="1" t="s">
        <v>1719</v>
      </c>
      <c r="D504" s="2">
        <v>65104611</v>
      </c>
      <c r="E504" s="1" t="s">
        <v>45</v>
      </c>
      <c r="F504" s="25">
        <v>150993.15</v>
      </c>
      <c r="G504" s="4">
        <v>45388</v>
      </c>
      <c r="H504" s="4">
        <v>42774</v>
      </c>
      <c r="I504" s="1" t="s">
        <v>25</v>
      </c>
      <c r="J504" s="7" t="s">
        <v>1720</v>
      </c>
      <c r="K504" s="17">
        <v>449</v>
      </c>
      <c r="L504" t="str">
        <f ca="1">+IF(TODAY()-ICETEX[[#This Row],[fecha_ultimo_movimiento]]&gt;360,"Inactivo","Activo")</f>
        <v>Inactivo</v>
      </c>
      <c r="M504" s="24">
        <f>+VLOOKUP(ICETEX[[#This Row],[fecha_ultimo_movimiento]],UVR!A:B,2,0)</f>
        <v>366.38119999999998</v>
      </c>
      <c r="N504" s="24">
        <v>412</v>
      </c>
      <c r="O504" t="s">
        <v>3264</v>
      </c>
    </row>
    <row r="505" spans="1:15" ht="15" thickBot="1">
      <c r="A505" s="6">
        <v>504</v>
      </c>
      <c r="B505" s="1" t="s">
        <v>1721</v>
      </c>
      <c r="C505" s="1" t="s">
        <v>1722</v>
      </c>
      <c r="D505" s="2">
        <v>104902392</v>
      </c>
      <c r="E505" s="1" t="s">
        <v>45</v>
      </c>
      <c r="F505" s="25">
        <v>179820.9</v>
      </c>
      <c r="G505" s="4">
        <v>45189</v>
      </c>
      <c r="H505" s="4">
        <v>43165</v>
      </c>
      <c r="I505" s="1" t="s">
        <v>1723</v>
      </c>
      <c r="J505" s="7" t="s">
        <v>1724</v>
      </c>
      <c r="K505" s="17">
        <v>648</v>
      </c>
      <c r="L505" t="str">
        <f ca="1">+IF(TODAY()-ICETEX[[#This Row],[fecha_ultimo_movimiento]]&gt;360,"Inactivo","Activo")</f>
        <v>Inactivo</v>
      </c>
      <c r="M505" s="24">
        <f>+VLOOKUP(ICETEX[[#This Row],[fecha_ultimo_movimiento]],UVR!A:B,2,0)</f>
        <v>352.11169999999998</v>
      </c>
      <c r="N505" s="24">
        <v>511</v>
      </c>
      <c r="O505" t="s">
        <v>3264</v>
      </c>
    </row>
    <row r="506" spans="1:15" ht="15" thickBot="1">
      <c r="A506" s="6">
        <v>505</v>
      </c>
      <c r="B506" s="1" t="s">
        <v>1725</v>
      </c>
      <c r="C506" s="1" t="s">
        <v>1726</v>
      </c>
      <c r="D506" s="2">
        <v>31311674</v>
      </c>
      <c r="E506" s="1" t="s">
        <v>12</v>
      </c>
      <c r="F506" s="25">
        <v>85517.16</v>
      </c>
      <c r="G506" s="4">
        <v>45045</v>
      </c>
      <c r="H506" s="4">
        <v>43153</v>
      </c>
      <c r="I506" s="1" t="s">
        <v>745</v>
      </c>
      <c r="J506" s="7" t="s">
        <v>1727</v>
      </c>
      <c r="K506" s="17">
        <v>792</v>
      </c>
      <c r="L506" t="str">
        <f ca="1">+IF(TODAY()-ICETEX[[#This Row],[fecha_ultimo_movimiento]]&gt;360,"Inactivo","Activo")</f>
        <v>Inactivo</v>
      </c>
      <c r="M506" s="24">
        <f>+VLOOKUP(ICETEX[[#This Row],[fecha_ultimo_movimiento]],UVR!A:B,2,0)</f>
        <v>342.80829999999997</v>
      </c>
      <c r="N506" s="24">
        <v>249</v>
      </c>
      <c r="O506" t="s">
        <v>3265</v>
      </c>
    </row>
    <row r="507" spans="1:15" ht="15" thickBot="1">
      <c r="A507" s="6">
        <v>506</v>
      </c>
      <c r="B507" s="1" t="s">
        <v>1728</v>
      </c>
      <c r="C507" s="1" t="s">
        <v>1729</v>
      </c>
      <c r="D507" s="2">
        <v>253170253</v>
      </c>
      <c r="E507" s="1" t="s">
        <v>12</v>
      </c>
      <c r="F507" s="25">
        <v>217479.8</v>
      </c>
      <c r="G507" s="4">
        <v>43878</v>
      </c>
      <c r="H507" s="4">
        <v>42663</v>
      </c>
      <c r="I507" s="1" t="s">
        <v>1730</v>
      </c>
      <c r="J507" s="7" t="s">
        <v>1731</v>
      </c>
      <c r="K507" s="17">
        <v>1959</v>
      </c>
      <c r="L507" t="str">
        <f ca="1">+IF(TODAY()-ICETEX[[#This Row],[fecha_ultimo_movimiento]]&gt;360,"Inactivo","Activo")</f>
        <v>Inactivo</v>
      </c>
      <c r="M507" s="24">
        <f>+VLOOKUP(ICETEX[[#This Row],[fecha_ultimo_movimiento]],UVR!A:B,2,0)</f>
        <v>271.62689999999998</v>
      </c>
      <c r="N507" s="24">
        <v>801</v>
      </c>
      <c r="O507" t="s">
        <v>3264</v>
      </c>
    </row>
    <row r="508" spans="1:15" ht="15" thickBot="1">
      <c r="A508" s="6">
        <v>507</v>
      </c>
      <c r="B508" s="1" t="s">
        <v>1732</v>
      </c>
      <c r="C508" s="1" t="s">
        <v>1733</v>
      </c>
      <c r="D508" s="2">
        <v>61001323</v>
      </c>
      <c r="E508" s="1" t="s">
        <v>12</v>
      </c>
      <c r="F508" s="25">
        <v>100076.54</v>
      </c>
      <c r="G508" s="4">
        <v>44893</v>
      </c>
      <c r="H508" s="4">
        <v>43248</v>
      </c>
      <c r="I508" s="1" t="s">
        <v>13</v>
      </c>
      <c r="J508" s="7" t="s">
        <v>1734</v>
      </c>
      <c r="K508" s="17">
        <v>944</v>
      </c>
      <c r="L508" t="str">
        <f ca="1">+IF(TODAY()-ICETEX[[#This Row],[fecha_ultimo_movimiento]]&gt;360,"Inactivo","Activo")</f>
        <v>Inactivo</v>
      </c>
      <c r="M508" s="24">
        <f>+VLOOKUP(ICETEX[[#This Row],[fecha_ultimo_movimiento]],UVR!A:B,2,0)</f>
        <v>321.80070000000001</v>
      </c>
      <c r="N508" s="24">
        <v>311</v>
      </c>
      <c r="O508" t="s">
        <v>3265</v>
      </c>
    </row>
    <row r="509" spans="1:15" ht="15" thickBot="1">
      <c r="A509" s="6">
        <v>508</v>
      </c>
      <c r="B509" s="1" t="s">
        <v>1735</v>
      </c>
      <c r="C509" s="1" t="s">
        <v>1736</v>
      </c>
      <c r="D509" s="2">
        <v>21000322</v>
      </c>
      <c r="E509" s="1" t="s">
        <v>45</v>
      </c>
      <c r="F509" s="25">
        <v>57702.720000000001</v>
      </c>
      <c r="G509" s="4">
        <v>44177</v>
      </c>
      <c r="H509" s="4">
        <v>43033</v>
      </c>
      <c r="I509" s="1" t="s">
        <v>13</v>
      </c>
      <c r="J509" s="7" t="s">
        <v>1737</v>
      </c>
      <c r="K509" s="17">
        <v>1660</v>
      </c>
      <c r="L509" t="str">
        <f ca="1">+IF(TODAY()-ICETEX[[#This Row],[fecha_ultimo_movimiento]]&gt;360,"Inactivo","Activo")</f>
        <v>Inactivo</v>
      </c>
      <c r="M509" s="24">
        <f>+VLOOKUP(ICETEX[[#This Row],[fecha_ultimo_movimiento]],UVR!A:B,2,0)</f>
        <v>275.29239999999999</v>
      </c>
      <c r="N509" s="24">
        <v>210</v>
      </c>
      <c r="O509" t="s">
        <v>3265</v>
      </c>
    </row>
    <row r="510" spans="1:15" ht="15" thickBot="1">
      <c r="A510" s="6">
        <v>509</v>
      </c>
      <c r="B510" s="1" t="s">
        <v>1738</v>
      </c>
      <c r="C510" s="1" t="s">
        <v>1739</v>
      </c>
      <c r="D510" s="2">
        <v>62202257</v>
      </c>
      <c r="E510" s="1" t="s">
        <v>45</v>
      </c>
      <c r="F510" s="25">
        <v>16584.240000000002</v>
      </c>
      <c r="G510" s="4">
        <v>45091</v>
      </c>
      <c r="H510" s="4">
        <v>42443</v>
      </c>
      <c r="I510" s="1" t="s">
        <v>1740</v>
      </c>
      <c r="J510" s="7" t="s">
        <v>1741</v>
      </c>
      <c r="K510" s="17">
        <v>746</v>
      </c>
      <c r="L510" t="str">
        <f ca="1">+IF(TODAY()-ICETEX[[#This Row],[fecha_ultimo_movimiento]]&gt;360,"Inactivo","Activo")</f>
        <v>Inactivo</v>
      </c>
      <c r="M510" s="24">
        <f>+VLOOKUP(ICETEX[[#This Row],[fecha_ultimo_movimiento]],UVR!A:B,2,0)</f>
        <v>347.3252</v>
      </c>
      <c r="N510" s="24">
        <v>48</v>
      </c>
      <c r="O510" t="s">
        <v>3265</v>
      </c>
    </row>
    <row r="511" spans="1:15" ht="15" thickBot="1">
      <c r="A511" s="6">
        <v>510</v>
      </c>
      <c r="B511" s="1" t="s">
        <v>1742</v>
      </c>
      <c r="C511" s="1" t="s">
        <v>1743</v>
      </c>
      <c r="D511" s="2">
        <v>91802877</v>
      </c>
      <c r="E511" s="1" t="s">
        <v>12</v>
      </c>
      <c r="F511" s="25">
        <v>84240.12</v>
      </c>
      <c r="G511" s="4">
        <v>45353</v>
      </c>
      <c r="H511" s="4">
        <v>43375</v>
      </c>
      <c r="I511" s="1" t="s">
        <v>1744</v>
      </c>
      <c r="J511" s="7" t="s">
        <v>1745</v>
      </c>
      <c r="K511" s="17">
        <v>484</v>
      </c>
      <c r="L511" t="str">
        <f ca="1">+IF(TODAY()-ICETEX[[#This Row],[fecha_ultimo_movimiento]]&gt;360,"Inactivo","Activo")</f>
        <v>Inactivo</v>
      </c>
      <c r="M511" s="24">
        <f>+VLOOKUP(ICETEX[[#This Row],[fecha_ultimo_movimiento]],UVR!A:B,2,0)</f>
        <v>362.08370000000002</v>
      </c>
      <c r="N511" s="24">
        <v>233</v>
      </c>
      <c r="O511" t="s">
        <v>3265</v>
      </c>
    </row>
    <row r="512" spans="1:15" ht="15" thickBot="1">
      <c r="A512" s="6">
        <v>511</v>
      </c>
      <c r="B512" s="1" t="s">
        <v>1746</v>
      </c>
      <c r="C512" s="1" t="s">
        <v>1747</v>
      </c>
      <c r="D512" s="2">
        <v>53111836</v>
      </c>
      <c r="E512" s="1" t="s">
        <v>12</v>
      </c>
      <c r="F512" s="25">
        <v>58608.37</v>
      </c>
      <c r="G512" s="4">
        <v>44480</v>
      </c>
      <c r="H512" s="4">
        <v>43394</v>
      </c>
      <c r="I512" s="1" t="s">
        <v>348</v>
      </c>
      <c r="J512" s="7" t="s">
        <v>1748</v>
      </c>
      <c r="K512" s="17">
        <v>1357</v>
      </c>
      <c r="L512" t="str">
        <f ca="1">+IF(TODAY()-ICETEX[[#This Row],[fecha_ultimo_movimiento]]&gt;360,"Inactivo","Activo")</f>
        <v>Inactivo</v>
      </c>
      <c r="M512" s="24">
        <f>+VLOOKUP(ICETEX[[#This Row],[fecha_ultimo_movimiento]],UVR!A:B,2,0)</f>
        <v>286.58699999999999</v>
      </c>
      <c r="N512" s="24">
        <v>205</v>
      </c>
      <c r="O512" t="s">
        <v>3265</v>
      </c>
    </row>
    <row r="513" spans="1:15" ht="15" thickBot="1">
      <c r="A513" s="6">
        <v>512</v>
      </c>
      <c r="B513" s="1" t="s">
        <v>1749</v>
      </c>
      <c r="C513" s="1" t="s">
        <v>1750</v>
      </c>
      <c r="D513" s="2">
        <v>82901868</v>
      </c>
      <c r="E513" s="1" t="s">
        <v>45</v>
      </c>
      <c r="F513" s="25">
        <v>17674.150000000001</v>
      </c>
      <c r="G513" s="4">
        <v>45545</v>
      </c>
      <c r="H513" s="4">
        <v>42729</v>
      </c>
      <c r="I513" s="1" t="s">
        <v>1351</v>
      </c>
      <c r="J513" s="7" t="s">
        <v>1751</v>
      </c>
      <c r="K513" s="17">
        <v>292</v>
      </c>
      <c r="L513" t="str">
        <f ca="1">+IF(TODAY()-ICETEX[[#This Row],[fecha_ultimo_movimiento]]&gt;360,"Inactivo","Activo")</f>
        <v>Activo</v>
      </c>
      <c r="M513" s="24">
        <f>+VLOOKUP(ICETEX[[#This Row],[fecha_ultimo_movimiento]],UVR!A:B,2,0)</f>
        <v>375.71899999999999</v>
      </c>
      <c r="N513" s="24">
        <v>47</v>
      </c>
      <c r="O513" t="s">
        <v>3264</v>
      </c>
    </row>
    <row r="514" spans="1:15" ht="15" thickBot="1">
      <c r="A514" s="6">
        <v>513</v>
      </c>
      <c r="B514" s="1" t="s">
        <v>1752</v>
      </c>
      <c r="C514" s="1" t="s">
        <v>1753</v>
      </c>
      <c r="D514" s="2">
        <v>52173464</v>
      </c>
      <c r="E514" s="1" t="s">
        <v>12</v>
      </c>
      <c r="F514" s="25">
        <v>194300.56</v>
      </c>
      <c r="G514" s="4">
        <v>43962</v>
      </c>
      <c r="H514" s="4">
        <v>43054</v>
      </c>
      <c r="I514" s="1" t="s">
        <v>1209</v>
      </c>
      <c r="J514" s="7" t="s">
        <v>1754</v>
      </c>
      <c r="K514" s="17">
        <v>1875</v>
      </c>
      <c r="L514" t="str">
        <f ca="1">+IF(TODAY()-ICETEX[[#This Row],[fecha_ultimo_movimiento]]&gt;360,"Inactivo","Activo")</f>
        <v>Inactivo</v>
      </c>
      <c r="M514" s="24">
        <f>+VLOOKUP(ICETEX[[#This Row],[fecha_ultimo_movimiento]],UVR!A:B,2,0)</f>
        <v>275.87150000000003</v>
      </c>
      <c r="N514" s="24">
        <v>704</v>
      </c>
      <c r="O514" t="s">
        <v>3264</v>
      </c>
    </row>
    <row r="515" spans="1:15" ht="15" thickBot="1">
      <c r="A515" s="6">
        <v>514</v>
      </c>
      <c r="B515" s="1" t="s">
        <v>1755</v>
      </c>
      <c r="C515" s="1" t="s">
        <v>1756</v>
      </c>
      <c r="D515" s="2">
        <v>322270521</v>
      </c>
      <c r="E515" s="1" t="s">
        <v>45</v>
      </c>
      <c r="F515" s="25">
        <v>124050.31</v>
      </c>
      <c r="G515" s="4">
        <v>44803</v>
      </c>
      <c r="H515" s="4">
        <v>42846</v>
      </c>
      <c r="I515" s="1" t="s">
        <v>383</v>
      </c>
      <c r="J515" s="7" t="s">
        <v>1757</v>
      </c>
      <c r="K515" s="17">
        <v>1034</v>
      </c>
      <c r="L515" t="str">
        <f ca="1">+IF(TODAY()-ICETEX[[#This Row],[fecha_ultimo_movimiento]]&gt;360,"Inactivo","Activo")</f>
        <v>Inactivo</v>
      </c>
      <c r="M515" s="24">
        <f>+VLOOKUP(ICETEX[[#This Row],[fecha_ultimo_movimiento]],UVR!A:B,2,0)</f>
        <v>313.32909999999998</v>
      </c>
      <c r="N515" s="24">
        <v>396</v>
      </c>
      <c r="O515" t="s">
        <v>3264</v>
      </c>
    </row>
    <row r="516" spans="1:15" ht="15" thickBot="1">
      <c r="A516" s="6">
        <v>515</v>
      </c>
      <c r="B516" s="1" t="s">
        <v>1758</v>
      </c>
      <c r="C516" s="1" t="s">
        <v>1759</v>
      </c>
      <c r="D516" s="2">
        <v>83002533</v>
      </c>
      <c r="E516" s="1" t="s">
        <v>45</v>
      </c>
      <c r="F516" s="25">
        <v>110220.4</v>
      </c>
      <c r="G516" s="4">
        <v>45773</v>
      </c>
      <c r="H516" s="4">
        <v>42858</v>
      </c>
      <c r="I516" s="1" t="s">
        <v>1760</v>
      </c>
      <c r="J516" s="7" t="s">
        <v>1761</v>
      </c>
      <c r="K516" s="17">
        <v>64</v>
      </c>
      <c r="L516" t="str">
        <f ca="1">+IF(TODAY()-ICETEX[[#This Row],[fecha_ultimo_movimiento]]&gt;360,"Inactivo","Activo")</f>
        <v>Activo</v>
      </c>
      <c r="M516" s="24">
        <f>+VLOOKUP(ICETEX[[#This Row],[fecha_ultimo_movimiento]],UVR!A:B,2,0)</f>
        <v>387.66399999999999</v>
      </c>
      <c r="N516" s="24">
        <v>284</v>
      </c>
      <c r="O516" t="s">
        <v>3264</v>
      </c>
    </row>
    <row r="517" spans="1:15" ht="15" thickBot="1">
      <c r="A517" s="6">
        <v>516</v>
      </c>
      <c r="B517" s="1" t="s">
        <v>1762</v>
      </c>
      <c r="C517" s="1" t="s">
        <v>1763</v>
      </c>
      <c r="D517" s="2">
        <v>107005047</v>
      </c>
      <c r="E517" s="1" t="s">
        <v>45</v>
      </c>
      <c r="F517" s="25">
        <v>149504.6</v>
      </c>
      <c r="G517" s="4">
        <v>44865</v>
      </c>
      <c r="H517" s="4">
        <v>42689</v>
      </c>
      <c r="I517" s="1" t="s">
        <v>54</v>
      </c>
      <c r="J517" s="7" t="s">
        <v>1764</v>
      </c>
      <c r="K517" s="17">
        <v>972</v>
      </c>
      <c r="L517" t="str">
        <f ca="1">+IF(TODAY()-ICETEX[[#This Row],[fecha_ultimo_movimiento]]&gt;360,"Inactivo","Activo")</f>
        <v>Inactivo</v>
      </c>
      <c r="M517" s="24">
        <f>+VLOOKUP(ICETEX[[#This Row],[fecha_ultimo_movimiento]],UVR!A:B,2,0)</f>
        <v>319.36799999999999</v>
      </c>
      <c r="N517" s="24">
        <v>468</v>
      </c>
      <c r="O517" t="s">
        <v>3264</v>
      </c>
    </row>
    <row r="518" spans="1:15" ht="15" thickBot="1">
      <c r="A518" s="6">
        <v>517</v>
      </c>
      <c r="B518" s="1" t="s">
        <v>1765</v>
      </c>
      <c r="C518" s="1" t="s">
        <v>1766</v>
      </c>
      <c r="D518" s="2">
        <v>104000016</v>
      </c>
      <c r="E518" s="1" t="s">
        <v>45</v>
      </c>
      <c r="F518" s="25">
        <v>46317.1</v>
      </c>
      <c r="G518" s="4">
        <v>45750</v>
      </c>
      <c r="H518" s="4">
        <v>43371</v>
      </c>
      <c r="I518" s="1" t="s">
        <v>1767</v>
      </c>
      <c r="J518" s="7" t="s">
        <v>1768</v>
      </c>
      <c r="K518" s="17">
        <v>87</v>
      </c>
      <c r="L518" t="str">
        <f ca="1">+IF(TODAY()-ICETEX[[#This Row],[fecha_ultimo_movimiento]]&gt;360,"Inactivo","Activo")</f>
        <v>Activo</v>
      </c>
      <c r="M518" s="24">
        <f>+VLOOKUP(ICETEX[[#This Row],[fecha_ultimo_movimiento]],UVR!A:B,2,0)</f>
        <v>385.23340000000002</v>
      </c>
      <c r="N518" s="24">
        <v>120</v>
      </c>
      <c r="O518" t="s">
        <v>3264</v>
      </c>
    </row>
    <row r="519" spans="1:15" ht="15" thickBot="1">
      <c r="A519" s="6">
        <v>518</v>
      </c>
      <c r="B519" s="1" t="s">
        <v>1769</v>
      </c>
      <c r="C519" s="1" t="s">
        <v>1770</v>
      </c>
      <c r="D519" s="2">
        <v>71002257</v>
      </c>
      <c r="E519" s="1" t="s">
        <v>45</v>
      </c>
      <c r="F519" s="25">
        <v>21000.82</v>
      </c>
      <c r="G519" s="4">
        <v>45465</v>
      </c>
      <c r="H519" s="4">
        <v>43023</v>
      </c>
      <c r="I519" s="1" t="s">
        <v>50</v>
      </c>
      <c r="J519" s="7" t="s">
        <v>1771</v>
      </c>
      <c r="K519" s="17">
        <v>372</v>
      </c>
      <c r="L519" t="str">
        <f ca="1">+IF(TODAY()-ICETEX[[#This Row],[fecha_ultimo_movimiento]]&gt;360,"Inactivo","Activo")</f>
        <v>Inactivo</v>
      </c>
      <c r="M519" s="24">
        <f>+VLOOKUP(ICETEX[[#This Row],[fecha_ultimo_movimiento]],UVR!A:B,2,0)</f>
        <v>372.66539999999998</v>
      </c>
      <c r="N519" s="24">
        <v>56</v>
      </c>
      <c r="O519" t="s">
        <v>3265</v>
      </c>
    </row>
    <row r="520" spans="1:15" ht="15" thickBot="1">
      <c r="A520" s="6">
        <v>519</v>
      </c>
      <c r="B520" s="1" t="s">
        <v>1772</v>
      </c>
      <c r="C520" s="1" t="s">
        <v>1773</v>
      </c>
      <c r="D520" s="2">
        <v>11002550</v>
      </c>
      <c r="E520" s="1" t="s">
        <v>45</v>
      </c>
      <c r="F520" s="25">
        <v>209140.34</v>
      </c>
      <c r="G520" s="4">
        <v>45080</v>
      </c>
      <c r="H520" s="4">
        <v>43034</v>
      </c>
      <c r="I520" s="1" t="s">
        <v>702</v>
      </c>
      <c r="J520" s="7" t="s">
        <v>1774</v>
      </c>
      <c r="K520" s="17">
        <v>757</v>
      </c>
      <c r="L520" t="str">
        <f ca="1">+IF(TODAY()-ICETEX[[#This Row],[fecha_ultimo_movimiento]]&gt;360,"Inactivo","Activo")</f>
        <v>Inactivo</v>
      </c>
      <c r="M520" s="24">
        <f>+VLOOKUP(ICETEX[[#This Row],[fecha_ultimo_movimiento]],UVR!A:B,2,0)</f>
        <v>346.3689</v>
      </c>
      <c r="N520" s="24">
        <v>604</v>
      </c>
      <c r="O520" t="s">
        <v>3264</v>
      </c>
    </row>
    <row r="521" spans="1:15" ht="15" thickBot="1">
      <c r="A521" s="6">
        <v>520</v>
      </c>
      <c r="B521" s="1" t="s">
        <v>1775</v>
      </c>
      <c r="C521" s="1" t="s">
        <v>1776</v>
      </c>
      <c r="D521" s="2">
        <v>53110112</v>
      </c>
      <c r="E521" s="1" t="s">
        <v>45</v>
      </c>
      <c r="F521" s="25">
        <v>134478.25</v>
      </c>
      <c r="G521" s="4">
        <v>45035</v>
      </c>
      <c r="H521" s="4">
        <v>42806</v>
      </c>
      <c r="I521" s="1" t="s">
        <v>217</v>
      </c>
      <c r="J521" s="7" t="s">
        <v>1777</v>
      </c>
      <c r="K521" s="17">
        <v>802</v>
      </c>
      <c r="L521" t="str">
        <f ca="1">+IF(TODAY()-ICETEX[[#This Row],[fecha_ultimo_movimiento]]&gt;360,"Inactivo","Activo")</f>
        <v>Inactivo</v>
      </c>
      <c r="M521" s="24">
        <f>+VLOOKUP(ICETEX[[#This Row],[fecha_ultimo_movimiento]],UVR!A:B,2,0)</f>
        <v>341.61680000000001</v>
      </c>
      <c r="N521" s="24">
        <v>394</v>
      </c>
      <c r="O521" t="s">
        <v>3264</v>
      </c>
    </row>
    <row r="522" spans="1:15" ht="15" thickBot="1">
      <c r="A522" s="6">
        <v>521</v>
      </c>
      <c r="B522" s="1" t="s">
        <v>1778</v>
      </c>
      <c r="C522" s="1" t="s">
        <v>1779</v>
      </c>
      <c r="D522" s="2">
        <v>272471179</v>
      </c>
      <c r="E522" s="1" t="s">
        <v>12</v>
      </c>
      <c r="F522" s="25">
        <v>210372.09</v>
      </c>
      <c r="G522" s="4">
        <v>45106</v>
      </c>
      <c r="H522" s="4">
        <v>43199</v>
      </c>
      <c r="I522" s="1" t="s">
        <v>270</v>
      </c>
      <c r="J522" s="7" t="s">
        <v>1780</v>
      </c>
      <c r="K522" s="17">
        <v>731</v>
      </c>
      <c r="L522" t="str">
        <f ca="1">+IF(TODAY()-ICETEX[[#This Row],[fecha_ultimo_movimiento]]&gt;360,"Inactivo","Activo")</f>
        <v>Inactivo</v>
      </c>
      <c r="M522" s="24">
        <f>+VLOOKUP(ICETEX[[#This Row],[fecha_ultimo_movimiento]],UVR!A:B,2,0)</f>
        <v>348.10849999999999</v>
      </c>
      <c r="N522" s="24">
        <v>604</v>
      </c>
      <c r="O522" t="s">
        <v>3264</v>
      </c>
    </row>
    <row r="523" spans="1:15" ht="15" thickBot="1">
      <c r="A523" s="6">
        <v>522</v>
      </c>
      <c r="B523" s="1" t="s">
        <v>1781</v>
      </c>
      <c r="C523" s="1" t="s">
        <v>1782</v>
      </c>
      <c r="D523" s="2">
        <v>21272655</v>
      </c>
      <c r="E523" s="1" t="s">
        <v>12</v>
      </c>
      <c r="F523" s="25">
        <v>155359.62</v>
      </c>
      <c r="G523" s="4">
        <v>44152</v>
      </c>
      <c r="H523" s="4">
        <v>42972</v>
      </c>
      <c r="I523" s="1" t="s">
        <v>907</v>
      </c>
      <c r="J523" s="7" t="s">
        <v>1783</v>
      </c>
      <c r="K523" s="17">
        <v>1685</v>
      </c>
      <c r="L523" t="str">
        <f ca="1">+IF(TODAY()-ICETEX[[#This Row],[fecha_ultimo_movimiento]]&gt;360,"Inactivo","Activo")</f>
        <v>Inactivo</v>
      </c>
      <c r="M523" s="24">
        <f>+VLOOKUP(ICETEX[[#This Row],[fecha_ultimo_movimiento]],UVR!A:B,2,0)</f>
        <v>275.43009999999998</v>
      </c>
      <c r="N523" s="24">
        <v>564</v>
      </c>
      <c r="O523" t="s">
        <v>3264</v>
      </c>
    </row>
    <row r="524" spans="1:15" ht="15" thickBot="1">
      <c r="A524" s="6">
        <v>523</v>
      </c>
      <c r="B524" s="1" t="s">
        <v>1784</v>
      </c>
      <c r="C524" s="1" t="s">
        <v>1785</v>
      </c>
      <c r="D524" s="2">
        <v>241270291</v>
      </c>
      <c r="E524" s="1" t="s">
        <v>12</v>
      </c>
      <c r="F524" s="25">
        <v>97960.8</v>
      </c>
      <c r="G524" s="4">
        <v>44548</v>
      </c>
      <c r="H524" s="4">
        <v>43022</v>
      </c>
      <c r="I524" s="1" t="s">
        <v>1014</v>
      </c>
      <c r="J524" s="7" t="s">
        <v>1786</v>
      </c>
      <c r="K524" s="17">
        <v>1289</v>
      </c>
      <c r="L524" t="str">
        <f ca="1">+IF(TODAY()-ICETEX[[#This Row],[fecha_ultimo_movimiento]]&gt;360,"Inactivo","Activo")</f>
        <v>Inactivo</v>
      </c>
      <c r="M524" s="24">
        <f>+VLOOKUP(ICETEX[[#This Row],[fecha_ultimo_movimiento]],UVR!A:B,2,0)</f>
        <v>288.01609999999999</v>
      </c>
      <c r="N524" s="24">
        <v>340</v>
      </c>
      <c r="O524" t="s">
        <v>3264</v>
      </c>
    </row>
    <row r="525" spans="1:15" ht="15" thickBot="1">
      <c r="A525" s="6">
        <v>524</v>
      </c>
      <c r="B525" s="1" t="s">
        <v>1787</v>
      </c>
      <c r="C525" s="1" t="s">
        <v>1788</v>
      </c>
      <c r="D525" s="2">
        <v>103112617</v>
      </c>
      <c r="E525" s="1" t="s">
        <v>45</v>
      </c>
      <c r="F525" s="25">
        <v>175399.21</v>
      </c>
      <c r="G525" s="4">
        <v>44425</v>
      </c>
      <c r="H525" s="4">
        <v>42726</v>
      </c>
      <c r="I525" s="1" t="s">
        <v>1168</v>
      </c>
      <c r="J525" s="7" t="s">
        <v>1789</v>
      </c>
      <c r="K525" s="17">
        <v>1412</v>
      </c>
      <c r="L525" t="str">
        <f ca="1">+IF(TODAY()-ICETEX[[#This Row],[fecha_ultimo_movimiento]]&gt;360,"Inactivo","Activo")</f>
        <v>Inactivo</v>
      </c>
      <c r="M525" s="24">
        <f>+VLOOKUP(ICETEX[[#This Row],[fecha_ultimo_movimiento]],UVR!A:B,2,0)</f>
        <v>284.62209999999999</v>
      </c>
      <c r="N525" s="24">
        <v>616</v>
      </c>
      <c r="O525" t="s">
        <v>3264</v>
      </c>
    </row>
    <row r="526" spans="1:15" ht="15" thickBot="1">
      <c r="A526" s="6">
        <v>525</v>
      </c>
      <c r="B526" s="1" t="s">
        <v>1790</v>
      </c>
      <c r="C526" s="1" t="s">
        <v>1791</v>
      </c>
      <c r="D526" s="2">
        <v>281073555</v>
      </c>
      <c r="E526" s="1" t="s">
        <v>12</v>
      </c>
      <c r="F526" s="25">
        <v>152213.42000000001</v>
      </c>
      <c r="G526" s="4">
        <v>45164</v>
      </c>
      <c r="H526" s="4">
        <v>42676</v>
      </c>
      <c r="I526" s="1" t="s">
        <v>1792</v>
      </c>
      <c r="J526" s="7" t="s">
        <v>1793</v>
      </c>
      <c r="K526" s="17">
        <v>673</v>
      </c>
      <c r="L526" t="str">
        <f ca="1">+IF(TODAY()-ICETEX[[#This Row],[fecha_ultimo_movimiento]]&gt;360,"Inactivo","Activo")</f>
        <v>Inactivo</v>
      </c>
      <c r="M526" s="24">
        <f>+VLOOKUP(ICETEX[[#This Row],[fecha_ultimo_movimiento]],UVR!A:B,2,0)</f>
        <v>350.5727</v>
      </c>
      <c r="N526" s="24">
        <v>434</v>
      </c>
      <c r="O526" t="s">
        <v>3264</v>
      </c>
    </row>
    <row r="527" spans="1:15" ht="15" thickBot="1">
      <c r="A527" s="6">
        <v>526</v>
      </c>
      <c r="B527" s="1" t="s">
        <v>1794</v>
      </c>
      <c r="C527" s="1" t="s">
        <v>1795</v>
      </c>
      <c r="D527" s="2">
        <v>111101995</v>
      </c>
      <c r="E527" s="1" t="s">
        <v>12</v>
      </c>
      <c r="F527" s="25">
        <v>146546.89000000001</v>
      </c>
      <c r="G527" s="4">
        <v>44764</v>
      </c>
      <c r="H527" s="4">
        <v>42474</v>
      </c>
      <c r="I527" s="1" t="s">
        <v>13</v>
      </c>
      <c r="J527" s="7" t="s">
        <v>1796</v>
      </c>
      <c r="K527" s="17">
        <v>1073</v>
      </c>
      <c r="L527" t="str">
        <f ca="1">+IF(TODAY()-ICETEX[[#This Row],[fecha_ultimo_movimiento]]&gt;360,"Inactivo","Activo")</f>
        <v>Inactivo</v>
      </c>
      <c r="M527" s="24">
        <f>+VLOOKUP(ICETEX[[#This Row],[fecha_ultimo_movimiento]],UVR!A:B,2,0)</f>
        <v>310.88159999999999</v>
      </c>
      <c r="N527" s="24">
        <v>471</v>
      </c>
      <c r="O527" t="s">
        <v>3264</v>
      </c>
    </row>
    <row r="528" spans="1:15" ht="15" thickBot="1">
      <c r="A528" s="6">
        <v>527</v>
      </c>
      <c r="B528" s="1" t="s">
        <v>675</v>
      </c>
      <c r="C528" s="1" t="s">
        <v>1797</v>
      </c>
      <c r="D528" s="2">
        <v>91400606</v>
      </c>
      <c r="E528" s="1" t="s">
        <v>12</v>
      </c>
      <c r="F528" s="25">
        <v>75284.38</v>
      </c>
      <c r="G528" s="4">
        <v>44847</v>
      </c>
      <c r="H528" s="4">
        <v>42863</v>
      </c>
      <c r="I528" s="1" t="s">
        <v>185</v>
      </c>
      <c r="J528" s="7" t="s">
        <v>1798</v>
      </c>
      <c r="K528" s="17">
        <v>990</v>
      </c>
      <c r="L528" t="str">
        <f ca="1">+IF(TODAY()-ICETEX[[#This Row],[fecha_ultimo_movimiento]]&gt;360,"Inactivo","Activo")</f>
        <v>Inactivo</v>
      </c>
      <c r="M528" s="24">
        <f>+VLOOKUP(ICETEX[[#This Row],[fecha_ultimo_movimiento]],UVR!A:B,2,0)</f>
        <v>317.63080000000002</v>
      </c>
      <c r="N528" s="24">
        <v>237</v>
      </c>
      <c r="O528" t="s">
        <v>3265</v>
      </c>
    </row>
    <row r="529" spans="1:15" ht="15" thickBot="1">
      <c r="A529" s="6">
        <v>528</v>
      </c>
      <c r="B529" s="1" t="s">
        <v>1102</v>
      </c>
      <c r="C529" s="1" t="s">
        <v>1799</v>
      </c>
      <c r="D529" s="2">
        <v>111904338</v>
      </c>
      <c r="E529" s="1" t="s">
        <v>45</v>
      </c>
      <c r="F529" s="25">
        <v>179886.57</v>
      </c>
      <c r="G529" s="4">
        <v>44981</v>
      </c>
      <c r="H529" s="4">
        <v>42386</v>
      </c>
      <c r="I529" s="1" t="s">
        <v>1593</v>
      </c>
      <c r="J529" s="8" t="s">
        <v>1800</v>
      </c>
      <c r="K529" s="17">
        <v>856</v>
      </c>
      <c r="L529" t="str">
        <f ca="1">+IF(TODAY()-ICETEX[[#This Row],[fecha_ultimo_movimiento]]&gt;360,"Inactivo","Activo")</f>
        <v>Inactivo</v>
      </c>
      <c r="M529" s="24">
        <f>+VLOOKUP(ICETEX[[#This Row],[fecha_ultimo_movimiento]],UVR!A:B,2,0)</f>
        <v>331.57729999999998</v>
      </c>
      <c r="N529" s="24">
        <v>543</v>
      </c>
      <c r="O529" t="s">
        <v>3264</v>
      </c>
    </row>
    <row r="530" spans="1:15" ht="15" thickBot="1">
      <c r="A530" s="6">
        <v>529</v>
      </c>
      <c r="B530" s="1" t="s">
        <v>1801</v>
      </c>
      <c r="C530" s="1" t="s">
        <v>1802</v>
      </c>
      <c r="D530" s="2">
        <v>67012057</v>
      </c>
      <c r="E530" s="1" t="s">
        <v>45</v>
      </c>
      <c r="F530" s="25">
        <v>154601.87</v>
      </c>
      <c r="G530" s="4">
        <v>45631</v>
      </c>
      <c r="H530" s="4">
        <v>43154</v>
      </c>
      <c r="I530" s="1" t="s">
        <v>1803</v>
      </c>
      <c r="J530" s="7" t="s">
        <v>1804</v>
      </c>
      <c r="K530" s="17">
        <v>206</v>
      </c>
      <c r="L530" t="str">
        <f ca="1">+IF(TODAY()-ICETEX[[#This Row],[fecha_ultimo_movimiento]]&gt;360,"Inactivo","Activo")</f>
        <v>Activo</v>
      </c>
      <c r="M530" s="24">
        <f>+VLOOKUP(ICETEX[[#This Row],[fecha_ultimo_movimiento]],UVR!A:B,2,0)</f>
        <v>376.41550000000001</v>
      </c>
      <c r="N530" s="24">
        <v>411</v>
      </c>
      <c r="O530" t="s">
        <v>3264</v>
      </c>
    </row>
    <row r="531" spans="1:15" ht="15" thickBot="1">
      <c r="A531" s="6">
        <v>530</v>
      </c>
      <c r="B531" s="1" t="s">
        <v>1805</v>
      </c>
      <c r="C531" s="1" t="s">
        <v>1806</v>
      </c>
      <c r="D531" s="2">
        <v>101114992</v>
      </c>
      <c r="E531" s="1" t="s">
        <v>12</v>
      </c>
      <c r="F531" s="25">
        <v>152975.57</v>
      </c>
      <c r="G531" s="4">
        <v>44965</v>
      </c>
      <c r="H531" s="4">
        <v>42948</v>
      </c>
      <c r="I531" s="1" t="s">
        <v>471</v>
      </c>
      <c r="J531" s="7" t="s">
        <v>810</v>
      </c>
      <c r="K531" s="17">
        <v>872</v>
      </c>
      <c r="L531" t="str">
        <f ca="1">+IF(TODAY()-ICETEX[[#This Row],[fecha_ultimo_movimiento]]&gt;360,"Inactivo","Activo")</f>
        <v>Inactivo</v>
      </c>
      <c r="M531" s="24">
        <f>+VLOOKUP(ICETEX[[#This Row],[fecha_ultimo_movimiento]],UVR!A:B,2,0)</f>
        <v>328.7713</v>
      </c>
      <c r="N531" s="24">
        <v>465</v>
      </c>
      <c r="O531" t="s">
        <v>3264</v>
      </c>
    </row>
    <row r="532" spans="1:15" ht="15" thickBot="1">
      <c r="A532" s="6">
        <v>531</v>
      </c>
      <c r="B532" s="1" t="s">
        <v>1807</v>
      </c>
      <c r="C532" s="1" t="s">
        <v>1808</v>
      </c>
      <c r="D532" s="2">
        <v>65301197</v>
      </c>
      <c r="E532" s="1" t="s">
        <v>12</v>
      </c>
      <c r="F532" s="25">
        <v>159144.21</v>
      </c>
      <c r="G532" s="4">
        <v>44934</v>
      </c>
      <c r="H532" s="4">
        <v>42902</v>
      </c>
      <c r="I532" s="1" t="s">
        <v>718</v>
      </c>
      <c r="J532" s="7" t="s">
        <v>1809</v>
      </c>
      <c r="K532" s="17">
        <v>903</v>
      </c>
      <c r="L532" t="str">
        <f ca="1">+IF(TODAY()-ICETEX[[#This Row],[fecha_ultimo_movimiento]]&gt;360,"Inactivo","Activo")</f>
        <v>Inactivo</v>
      </c>
      <c r="M532" s="24">
        <f>+VLOOKUP(ICETEX[[#This Row],[fecha_ultimo_movimiento]],UVR!A:B,2,0)</f>
        <v>325.03609999999998</v>
      </c>
      <c r="N532" s="24">
        <v>490</v>
      </c>
      <c r="O532" t="s">
        <v>3264</v>
      </c>
    </row>
    <row r="533" spans="1:15" ht="15" thickBot="1">
      <c r="A533" s="6">
        <v>532</v>
      </c>
      <c r="B533" s="1" t="s">
        <v>1810</v>
      </c>
      <c r="C533" s="1" t="s">
        <v>1811</v>
      </c>
      <c r="D533" s="2">
        <v>54001550</v>
      </c>
      <c r="E533" s="1" t="s">
        <v>45</v>
      </c>
      <c r="F533" s="25">
        <v>87645.72</v>
      </c>
      <c r="G533" s="4">
        <v>44470</v>
      </c>
      <c r="H533" s="4">
        <v>43078</v>
      </c>
      <c r="I533" s="1" t="s">
        <v>1812</v>
      </c>
      <c r="J533" s="7" t="s">
        <v>1813</v>
      </c>
      <c r="K533" s="17">
        <v>1367</v>
      </c>
      <c r="L533" t="str">
        <f ca="1">+IF(TODAY()-ICETEX[[#This Row],[fecha_ultimo_movimiento]]&gt;360,"Inactivo","Activo")</f>
        <v>Inactivo</v>
      </c>
      <c r="M533" s="24">
        <f>+VLOOKUP(ICETEX[[#This Row],[fecha_ultimo_movimiento]],UVR!A:B,2,0)</f>
        <v>286.15839999999997</v>
      </c>
      <c r="N533" s="24">
        <v>306</v>
      </c>
      <c r="O533" t="s">
        <v>3265</v>
      </c>
    </row>
    <row r="534" spans="1:15" ht="15" thickBot="1">
      <c r="A534" s="6">
        <v>533</v>
      </c>
      <c r="B534" s="1" t="s">
        <v>1814</v>
      </c>
      <c r="C534" s="1" t="s">
        <v>1815</v>
      </c>
      <c r="D534" s="2">
        <v>81000702</v>
      </c>
      <c r="E534" s="1" t="s">
        <v>12</v>
      </c>
      <c r="F534" s="25">
        <v>25030.42</v>
      </c>
      <c r="G534" s="4">
        <v>45454</v>
      </c>
      <c r="H534" s="4">
        <v>42419</v>
      </c>
      <c r="I534" s="1" t="s">
        <v>538</v>
      </c>
      <c r="J534" s="7" t="s">
        <v>1816</v>
      </c>
      <c r="K534" s="17">
        <v>383</v>
      </c>
      <c r="L534" t="str">
        <f ca="1">+IF(TODAY()-ICETEX[[#This Row],[fecha_ultimo_movimiento]]&gt;360,"Inactivo","Activo")</f>
        <v>Inactivo</v>
      </c>
      <c r="M534" s="24">
        <f>+VLOOKUP(ICETEX[[#This Row],[fecha_ultimo_movimiento]],UVR!A:B,2,0)</f>
        <v>372.01010000000002</v>
      </c>
      <c r="N534" s="24">
        <v>67</v>
      </c>
      <c r="O534" t="s">
        <v>3265</v>
      </c>
    </row>
    <row r="535" spans="1:15" ht="15" thickBot="1">
      <c r="A535" s="6">
        <v>534</v>
      </c>
      <c r="B535" s="1" t="s">
        <v>1817</v>
      </c>
      <c r="C535" s="1" t="s">
        <v>1818</v>
      </c>
      <c r="D535" s="2">
        <v>81518524</v>
      </c>
      <c r="E535" s="1" t="s">
        <v>12</v>
      </c>
      <c r="F535" s="25">
        <v>194395.03</v>
      </c>
      <c r="G535" s="4">
        <v>44762</v>
      </c>
      <c r="H535" s="4">
        <v>42509</v>
      </c>
      <c r="I535" s="1" t="s">
        <v>510</v>
      </c>
      <c r="J535" s="7" t="s">
        <v>1819</v>
      </c>
      <c r="K535" s="17">
        <v>1075</v>
      </c>
      <c r="L535" t="str">
        <f ca="1">+IF(TODAY()-ICETEX[[#This Row],[fecha_ultimo_movimiento]]&gt;360,"Inactivo","Activo")</f>
        <v>Inactivo</v>
      </c>
      <c r="M535" s="24">
        <f>+VLOOKUP(ICETEX[[#This Row],[fecha_ultimo_movimiento]],UVR!A:B,2,0)</f>
        <v>310.77960000000002</v>
      </c>
      <c r="N535" s="24">
        <v>626</v>
      </c>
      <c r="O535" t="s">
        <v>3264</v>
      </c>
    </row>
    <row r="536" spans="1:15" ht="15" thickBot="1">
      <c r="A536" s="6">
        <v>535</v>
      </c>
      <c r="B536" s="1" t="s">
        <v>1820</v>
      </c>
      <c r="C536" s="1" t="s">
        <v>1821</v>
      </c>
      <c r="D536" s="2">
        <v>63103407</v>
      </c>
      <c r="E536" s="1" t="s">
        <v>45</v>
      </c>
      <c r="F536" s="25">
        <v>184406.89</v>
      </c>
      <c r="G536" s="4">
        <v>45064</v>
      </c>
      <c r="H536" s="4">
        <v>43266</v>
      </c>
      <c r="I536" s="1" t="s">
        <v>1822</v>
      </c>
      <c r="J536" s="7" t="s">
        <v>1823</v>
      </c>
      <c r="K536" s="17">
        <v>773</v>
      </c>
      <c r="L536" t="str">
        <f ca="1">+IF(TODAY()-ICETEX[[#This Row],[fecha_ultimo_movimiento]]&gt;360,"Inactivo","Activo")</f>
        <v>Inactivo</v>
      </c>
      <c r="M536" s="24">
        <f>+VLOOKUP(ICETEX[[#This Row],[fecha_ultimo_movimiento]],UVR!A:B,2,0)</f>
        <v>344.98270000000002</v>
      </c>
      <c r="N536" s="24">
        <v>535</v>
      </c>
      <c r="O536" t="s">
        <v>3264</v>
      </c>
    </row>
    <row r="537" spans="1:15" ht="15" thickBot="1">
      <c r="A537" s="6">
        <v>536</v>
      </c>
      <c r="B537" s="1" t="s">
        <v>1824</v>
      </c>
      <c r="C537" s="1" t="s">
        <v>1825</v>
      </c>
      <c r="D537" s="2">
        <v>84205559</v>
      </c>
      <c r="E537" s="1" t="s">
        <v>12</v>
      </c>
      <c r="F537" s="25">
        <v>164093.57999999999</v>
      </c>
      <c r="G537" s="4">
        <v>43950</v>
      </c>
      <c r="H537" s="4">
        <v>42618</v>
      </c>
      <c r="I537" s="1" t="s">
        <v>718</v>
      </c>
      <c r="J537" s="7" t="s">
        <v>1826</v>
      </c>
      <c r="K537" s="17">
        <v>1887</v>
      </c>
      <c r="L537" t="str">
        <f ca="1">+IF(TODAY()-ICETEX[[#This Row],[fecha_ultimo_movimiento]]&gt;360,"Inactivo","Activo")</f>
        <v>Inactivo</v>
      </c>
      <c r="M537" s="24">
        <f>+VLOOKUP(ICETEX[[#This Row],[fecha_ultimo_movimiento]],UVR!A:B,2,0)</f>
        <v>275.245</v>
      </c>
      <c r="N537" s="24">
        <v>596</v>
      </c>
      <c r="O537" t="s">
        <v>3264</v>
      </c>
    </row>
    <row r="538" spans="1:15" ht="15" thickBot="1">
      <c r="A538" s="6">
        <v>537</v>
      </c>
      <c r="B538" s="1" t="s">
        <v>1827</v>
      </c>
      <c r="C538" s="1" t="s">
        <v>1828</v>
      </c>
      <c r="D538" s="2">
        <v>107006101</v>
      </c>
      <c r="E538" s="1" t="s">
        <v>12</v>
      </c>
      <c r="F538" s="25">
        <v>103205.17</v>
      </c>
      <c r="G538" s="4">
        <v>45184</v>
      </c>
      <c r="H538" s="4">
        <v>42973</v>
      </c>
      <c r="I538" s="1" t="s">
        <v>54</v>
      </c>
      <c r="J538" s="7" t="s">
        <v>1829</v>
      </c>
      <c r="K538" s="17">
        <v>653</v>
      </c>
      <c r="L538" t="str">
        <f ca="1">+IF(TODAY()-ICETEX[[#This Row],[fecha_ultimo_movimiento]]&gt;360,"Inactivo","Activo")</f>
        <v>Inactivo</v>
      </c>
      <c r="M538" s="24">
        <f>+VLOOKUP(ICETEX[[#This Row],[fecha_ultimo_movimiento]],UVR!A:B,2,0)</f>
        <v>351.70260000000002</v>
      </c>
      <c r="N538" s="24">
        <v>293</v>
      </c>
      <c r="O538" t="s">
        <v>3265</v>
      </c>
    </row>
    <row r="539" spans="1:15" ht="15" thickBot="1">
      <c r="A539" s="6">
        <v>538</v>
      </c>
      <c r="B539" s="1" t="s">
        <v>1830</v>
      </c>
      <c r="C539" s="1" t="s">
        <v>1831</v>
      </c>
      <c r="D539" s="2">
        <v>121132682</v>
      </c>
      <c r="E539" s="1" t="s">
        <v>12</v>
      </c>
      <c r="F539" s="25">
        <v>138947.23000000001</v>
      </c>
      <c r="G539" s="4">
        <v>44333</v>
      </c>
      <c r="H539" s="4">
        <v>43060</v>
      </c>
      <c r="I539" s="1" t="s">
        <v>1832</v>
      </c>
      <c r="J539" s="7" t="s">
        <v>1833</v>
      </c>
      <c r="K539" s="17">
        <v>1504</v>
      </c>
      <c r="L539" t="str">
        <f ca="1">+IF(TODAY()-ICETEX[[#This Row],[fecha_ultimo_movimiento]]&gt;360,"Inactivo","Activo")</f>
        <v>Inactivo</v>
      </c>
      <c r="M539" s="24">
        <f>+VLOOKUP(ICETEX[[#This Row],[fecha_ultimo_movimiento]],UVR!A:B,2,0)</f>
        <v>280.3399</v>
      </c>
      <c r="N539" s="24">
        <v>496</v>
      </c>
      <c r="O539" t="s">
        <v>3264</v>
      </c>
    </row>
    <row r="540" spans="1:15" ht="15" thickBot="1">
      <c r="A540" s="6">
        <v>539</v>
      </c>
      <c r="B540" s="1" t="s">
        <v>1834</v>
      </c>
      <c r="C540" s="1" t="s">
        <v>1835</v>
      </c>
      <c r="D540" s="2">
        <v>111914289</v>
      </c>
      <c r="E540" s="1" t="s">
        <v>45</v>
      </c>
      <c r="F540" s="25">
        <v>204340.65</v>
      </c>
      <c r="G540" s="4">
        <v>45012</v>
      </c>
      <c r="H540" s="4">
        <v>42581</v>
      </c>
      <c r="I540" s="1" t="s">
        <v>25</v>
      </c>
      <c r="J540" s="7" t="s">
        <v>1836</v>
      </c>
      <c r="K540" s="17">
        <v>825</v>
      </c>
      <c r="L540" t="str">
        <f ca="1">+IF(TODAY()-ICETEX[[#This Row],[fecha_ultimo_movimiento]]&gt;360,"Inactivo","Activo")</f>
        <v>Inactivo</v>
      </c>
      <c r="M540" s="24">
        <f>+VLOOKUP(ICETEX[[#This Row],[fecha_ultimo_movimiento]],UVR!A:B,2,0)</f>
        <v>337.71629999999999</v>
      </c>
      <c r="N540" s="24">
        <v>605</v>
      </c>
      <c r="O540" t="s">
        <v>3264</v>
      </c>
    </row>
    <row r="541" spans="1:15" ht="15" thickBot="1">
      <c r="A541" s="6">
        <v>540</v>
      </c>
      <c r="B541" s="1" t="s">
        <v>1837</v>
      </c>
      <c r="C541" s="1" t="s">
        <v>1838</v>
      </c>
      <c r="D541" s="2">
        <v>63114784</v>
      </c>
      <c r="E541" s="1" t="s">
        <v>45</v>
      </c>
      <c r="F541" s="25">
        <v>69383.42</v>
      </c>
      <c r="G541" s="4">
        <v>44386</v>
      </c>
      <c r="H541" s="4">
        <v>42910</v>
      </c>
      <c r="I541" s="1" t="s">
        <v>147</v>
      </c>
      <c r="J541" s="7" t="s">
        <v>1839</v>
      </c>
      <c r="K541" s="17">
        <v>1451</v>
      </c>
      <c r="L541" t="str">
        <f ca="1">+IF(TODAY()-ICETEX[[#This Row],[fecha_ultimo_movimiento]]&gt;360,"Inactivo","Activo")</f>
        <v>Inactivo</v>
      </c>
      <c r="M541" s="24">
        <f>+VLOOKUP(ICETEX[[#This Row],[fecha_ultimo_movimiento]],UVR!A:B,2,0)</f>
        <v>284.1397</v>
      </c>
      <c r="N541" s="24">
        <v>244</v>
      </c>
      <c r="O541" t="s">
        <v>3265</v>
      </c>
    </row>
    <row r="542" spans="1:15" ht="15" thickBot="1">
      <c r="A542" s="6">
        <v>541</v>
      </c>
      <c r="B542" s="1" t="s">
        <v>1840</v>
      </c>
      <c r="C542" s="1" t="s">
        <v>1841</v>
      </c>
      <c r="D542" s="2">
        <v>226071237</v>
      </c>
      <c r="E542" s="1" t="s">
        <v>45</v>
      </c>
      <c r="F542" s="25">
        <v>189002.48</v>
      </c>
      <c r="G542" s="4">
        <v>45490</v>
      </c>
      <c r="H542" s="4">
        <v>42510</v>
      </c>
      <c r="I542" s="1" t="s">
        <v>238</v>
      </c>
      <c r="J542" s="7" t="s">
        <v>1842</v>
      </c>
      <c r="K542" s="17">
        <v>347</v>
      </c>
      <c r="L542" t="str">
        <f ca="1">+IF(TODAY()-ICETEX[[#This Row],[fecha_ultimo_movimiento]]&gt;360,"Inactivo","Activo")</f>
        <v>Activo</v>
      </c>
      <c r="M542" s="24">
        <f>+VLOOKUP(ICETEX[[#This Row],[fecha_ultimo_movimiento]],UVR!A:B,2,0)</f>
        <v>373.97050000000002</v>
      </c>
      <c r="N542" s="24">
        <v>505</v>
      </c>
      <c r="O542" t="s">
        <v>3264</v>
      </c>
    </row>
    <row r="543" spans="1:15" ht="15" thickBot="1">
      <c r="A543" s="6">
        <v>542</v>
      </c>
      <c r="B543" s="1" t="s">
        <v>1843</v>
      </c>
      <c r="C543" s="1" t="s">
        <v>1844</v>
      </c>
      <c r="D543" s="2">
        <v>211371191</v>
      </c>
      <c r="E543" s="1" t="s">
        <v>45</v>
      </c>
      <c r="F543" s="25">
        <v>161856.91</v>
      </c>
      <c r="G543" s="4">
        <v>45779</v>
      </c>
      <c r="H543" s="4">
        <v>42489</v>
      </c>
      <c r="I543" s="1" t="s">
        <v>238</v>
      </c>
      <c r="J543" s="7" t="s">
        <v>1845</v>
      </c>
      <c r="K543" s="17">
        <v>58</v>
      </c>
      <c r="L543" t="str">
        <f ca="1">+IF(TODAY()-ICETEX[[#This Row],[fecha_ultimo_movimiento]]&gt;360,"Inactivo","Activo")</f>
        <v>Activo</v>
      </c>
      <c r="M543" s="24">
        <f>+VLOOKUP(ICETEX[[#This Row],[fecha_ultimo_movimiento]],UVR!A:B,2,0)</f>
        <v>388.06639999999999</v>
      </c>
      <c r="N543" s="24">
        <v>417</v>
      </c>
      <c r="O543" t="s">
        <v>3264</v>
      </c>
    </row>
    <row r="544" spans="1:15" ht="15" thickBot="1">
      <c r="A544" s="6">
        <v>543</v>
      </c>
      <c r="B544" s="1" t="s">
        <v>1846</v>
      </c>
      <c r="C544" s="1" t="s">
        <v>1847</v>
      </c>
      <c r="D544" s="2">
        <v>311093120</v>
      </c>
      <c r="E544" s="1" t="s">
        <v>12</v>
      </c>
      <c r="F544" s="25">
        <v>164869.65</v>
      </c>
      <c r="G544" s="4">
        <v>45704</v>
      </c>
      <c r="H544" s="4">
        <v>42712</v>
      </c>
      <c r="I544" s="1" t="s">
        <v>762</v>
      </c>
      <c r="J544" s="7" t="s">
        <v>1848</v>
      </c>
      <c r="K544" s="17">
        <v>133</v>
      </c>
      <c r="L544" t="str">
        <f ca="1">+IF(TODAY()-ICETEX[[#This Row],[fecha_ultimo_movimiento]]&gt;360,"Inactivo","Activo")</f>
        <v>Activo</v>
      </c>
      <c r="M544" s="24">
        <f>+VLOOKUP(ICETEX[[#This Row],[fecha_ultimo_movimiento]],UVR!A:B,2,0)</f>
        <v>379.13029999999998</v>
      </c>
      <c r="N544" s="24">
        <v>435</v>
      </c>
      <c r="O544" t="s">
        <v>3264</v>
      </c>
    </row>
    <row r="545" spans="1:15" ht="15" thickBot="1">
      <c r="A545" s="6">
        <v>544</v>
      </c>
      <c r="B545" s="1" t="s">
        <v>1849</v>
      </c>
      <c r="C545" s="1" t="s">
        <v>1850</v>
      </c>
      <c r="D545" s="2">
        <v>21200025</v>
      </c>
      <c r="E545" s="1" t="s">
        <v>45</v>
      </c>
      <c r="F545" s="25">
        <v>52026.54</v>
      </c>
      <c r="G545" s="4">
        <v>44677</v>
      </c>
      <c r="H545" s="4">
        <v>43337</v>
      </c>
      <c r="I545" s="1" t="s">
        <v>217</v>
      </c>
      <c r="J545" s="7" t="s">
        <v>1851</v>
      </c>
      <c r="K545" s="17">
        <v>1160</v>
      </c>
      <c r="L545" t="str">
        <f ca="1">+IF(TODAY()-ICETEX[[#This Row],[fecha_ultimo_movimiento]]&gt;360,"Inactivo","Activo")</f>
        <v>Inactivo</v>
      </c>
      <c r="M545" s="24">
        <f>+VLOOKUP(ICETEX[[#This Row],[fecha_ultimo_movimiento]],UVR!A:B,2,0)</f>
        <v>302.22559999999999</v>
      </c>
      <c r="N545" s="24">
        <v>172</v>
      </c>
      <c r="O545" t="s">
        <v>3265</v>
      </c>
    </row>
    <row r="546" spans="1:15" ht="15" thickBot="1">
      <c r="A546" s="6">
        <v>545</v>
      </c>
      <c r="B546" s="1" t="s">
        <v>1852</v>
      </c>
      <c r="C546" s="1" t="s">
        <v>1853</v>
      </c>
      <c r="D546" s="2">
        <v>55000110</v>
      </c>
      <c r="E546" s="1" t="s">
        <v>45</v>
      </c>
      <c r="F546" s="25">
        <v>186066.6</v>
      </c>
      <c r="G546" s="4">
        <v>45078</v>
      </c>
      <c r="H546" s="4">
        <v>43179</v>
      </c>
      <c r="I546" s="1" t="s">
        <v>1209</v>
      </c>
      <c r="J546" s="7" t="s">
        <v>1854</v>
      </c>
      <c r="K546" s="17">
        <v>759</v>
      </c>
      <c r="L546" t="str">
        <f ca="1">+IF(TODAY()-ICETEX[[#This Row],[fecha_ultimo_movimiento]]&gt;360,"Inactivo","Activo")</f>
        <v>Inactivo</v>
      </c>
      <c r="M546" s="24">
        <f>+VLOOKUP(ICETEX[[#This Row],[fecha_ultimo_movimiento]],UVR!A:B,2,0)</f>
        <v>346.19529999999997</v>
      </c>
      <c r="N546" s="24">
        <v>537</v>
      </c>
      <c r="O546" t="s">
        <v>3264</v>
      </c>
    </row>
    <row r="547" spans="1:15" ht="15" thickBot="1">
      <c r="A547" s="6">
        <v>546</v>
      </c>
      <c r="B547" s="1" t="s">
        <v>1855</v>
      </c>
      <c r="C547" s="1" t="s">
        <v>1856</v>
      </c>
      <c r="D547" s="2">
        <v>51000253</v>
      </c>
      <c r="E547" s="1" t="s">
        <v>12</v>
      </c>
      <c r="F547" s="25">
        <v>80023.009999999995</v>
      </c>
      <c r="G547" s="4">
        <v>44710</v>
      </c>
      <c r="H547" s="4">
        <v>43225</v>
      </c>
      <c r="I547" s="1" t="s">
        <v>217</v>
      </c>
      <c r="J547" s="7" t="s">
        <v>1857</v>
      </c>
      <c r="K547" s="17">
        <v>1127</v>
      </c>
      <c r="L547" t="str">
        <f ca="1">+IF(TODAY()-ICETEX[[#This Row],[fecha_ultimo_movimiento]]&gt;360,"Inactivo","Activo")</f>
        <v>Inactivo</v>
      </c>
      <c r="M547" s="24">
        <f>+VLOOKUP(ICETEX[[#This Row],[fecha_ultimo_movimiento]],UVR!A:B,2,0)</f>
        <v>305.84739999999999</v>
      </c>
      <c r="N547" s="24">
        <v>262</v>
      </c>
      <c r="O547" t="s">
        <v>3265</v>
      </c>
    </row>
    <row r="548" spans="1:15" ht="15" thickBot="1">
      <c r="A548" s="6">
        <v>547</v>
      </c>
      <c r="B548" s="1" t="s">
        <v>1858</v>
      </c>
      <c r="C548" s="1" t="s">
        <v>1859</v>
      </c>
      <c r="D548" s="2">
        <v>71922670</v>
      </c>
      <c r="E548" s="1" t="s">
        <v>12</v>
      </c>
      <c r="F548" s="25">
        <v>18699.63</v>
      </c>
      <c r="G548" s="4">
        <v>45369</v>
      </c>
      <c r="H548" s="4">
        <v>43452</v>
      </c>
      <c r="I548" s="1" t="s">
        <v>1860</v>
      </c>
      <c r="J548" s="7" t="s">
        <v>1861</v>
      </c>
      <c r="K548" s="17">
        <v>468</v>
      </c>
      <c r="L548" t="str">
        <f ca="1">+IF(TODAY()-ICETEX[[#This Row],[fecha_ultimo_movimiento]]&gt;360,"Inactivo","Activo")</f>
        <v>Inactivo</v>
      </c>
      <c r="M548" s="24">
        <f>+VLOOKUP(ICETEX[[#This Row],[fecha_ultimo_movimiento]],UVR!A:B,2,0)</f>
        <v>363.95479999999998</v>
      </c>
      <c r="N548" s="24">
        <v>51</v>
      </c>
      <c r="O548" t="s">
        <v>3265</v>
      </c>
    </row>
    <row r="549" spans="1:15" ht="15" thickBot="1">
      <c r="A549" s="6">
        <v>548</v>
      </c>
      <c r="B549" s="1" t="s">
        <v>1862</v>
      </c>
      <c r="C549" s="1" t="s">
        <v>1863</v>
      </c>
      <c r="D549" s="2">
        <v>31100490</v>
      </c>
      <c r="E549" s="1" t="s">
        <v>45</v>
      </c>
      <c r="F549" s="25">
        <v>212707.17</v>
      </c>
      <c r="G549" s="4">
        <v>44999</v>
      </c>
      <c r="H549" s="4">
        <v>42374</v>
      </c>
      <c r="I549" s="1" t="s">
        <v>147</v>
      </c>
      <c r="J549" s="7" t="s">
        <v>26</v>
      </c>
      <c r="K549" s="17">
        <v>838</v>
      </c>
      <c r="L549" t="str">
        <f ca="1">+IF(TODAY()-ICETEX[[#This Row],[fecha_ultimo_movimiento]]&gt;360,"Inactivo","Activo")</f>
        <v>Inactivo</v>
      </c>
      <c r="M549" s="24">
        <f>+VLOOKUP(ICETEX[[#This Row],[fecha_ultimo_movimiento]],UVR!A:B,2,0)</f>
        <v>335.35950000000003</v>
      </c>
      <c r="N549" s="24">
        <v>634</v>
      </c>
      <c r="O549" t="s">
        <v>3264</v>
      </c>
    </row>
    <row r="550" spans="1:15" ht="15" thickBot="1">
      <c r="A550" s="6">
        <v>549</v>
      </c>
      <c r="B550" s="1" t="s">
        <v>1864</v>
      </c>
      <c r="C550" s="1" t="s">
        <v>1865</v>
      </c>
      <c r="D550" s="2">
        <v>231375290</v>
      </c>
      <c r="E550" s="1" t="s">
        <v>45</v>
      </c>
      <c r="F550" s="25">
        <v>207140.22</v>
      </c>
      <c r="G550" s="4">
        <v>45481</v>
      </c>
      <c r="H550" s="4">
        <v>42949</v>
      </c>
      <c r="I550" s="1" t="s">
        <v>88</v>
      </c>
      <c r="J550" s="7" t="s">
        <v>1866</v>
      </c>
      <c r="K550" s="17">
        <v>356</v>
      </c>
      <c r="L550" t="str">
        <f ca="1">+IF(TODAY()-ICETEX[[#This Row],[fecha_ultimo_movimiento]]&gt;360,"Inactivo","Activo")</f>
        <v>Activo</v>
      </c>
      <c r="M550" s="24">
        <f>+VLOOKUP(ICETEX[[#This Row],[fecha_ultimo_movimiento]],UVR!A:B,2,0)</f>
        <v>373.51920000000001</v>
      </c>
      <c r="N550" s="24">
        <v>555</v>
      </c>
      <c r="O550" t="s">
        <v>3264</v>
      </c>
    </row>
    <row r="551" spans="1:15" ht="15" thickBot="1">
      <c r="A551" s="6">
        <v>550</v>
      </c>
      <c r="B551" s="1" t="s">
        <v>1867</v>
      </c>
      <c r="C551" s="1" t="s">
        <v>1868</v>
      </c>
      <c r="D551" s="2">
        <v>63113138</v>
      </c>
      <c r="E551" s="1" t="s">
        <v>12</v>
      </c>
      <c r="F551" s="25">
        <v>151112.85999999999</v>
      </c>
      <c r="G551" s="4">
        <v>45038</v>
      </c>
      <c r="H551" s="4">
        <v>42937</v>
      </c>
      <c r="I551" s="1" t="s">
        <v>401</v>
      </c>
      <c r="J551" s="7" t="s">
        <v>1869</v>
      </c>
      <c r="K551" s="17">
        <v>799</v>
      </c>
      <c r="L551" t="str">
        <f ca="1">+IF(TODAY()-ICETEX[[#This Row],[fecha_ultimo_movimiento]]&gt;360,"Inactivo","Activo")</f>
        <v>Inactivo</v>
      </c>
      <c r="M551" s="24">
        <f>+VLOOKUP(ICETEX[[#This Row],[fecha_ultimo_movimiento]],UVR!A:B,2,0)</f>
        <v>341.97390000000001</v>
      </c>
      <c r="N551" s="24">
        <v>442</v>
      </c>
      <c r="O551" t="s">
        <v>3264</v>
      </c>
    </row>
    <row r="552" spans="1:15" ht="15" thickBot="1">
      <c r="A552" s="6">
        <v>551</v>
      </c>
      <c r="B552" s="1" t="s">
        <v>1870</v>
      </c>
      <c r="C552" s="1" t="s">
        <v>1871</v>
      </c>
      <c r="D552" s="2">
        <v>101106560</v>
      </c>
      <c r="E552" s="1" t="s">
        <v>12</v>
      </c>
      <c r="F552" s="25">
        <v>110020.03</v>
      </c>
      <c r="G552" s="4">
        <v>44837</v>
      </c>
      <c r="H552" s="4">
        <v>42952</v>
      </c>
      <c r="I552" s="1" t="s">
        <v>1872</v>
      </c>
      <c r="J552" s="8" t="s">
        <v>1873</v>
      </c>
      <c r="K552" s="17">
        <v>1000</v>
      </c>
      <c r="L552" t="str">
        <f ca="1">+IF(TODAY()-ICETEX[[#This Row],[fecha_ultimo_movimiento]]&gt;360,"Inactivo","Activo")</f>
        <v>Inactivo</v>
      </c>
      <c r="M552" s="24">
        <f>+VLOOKUP(ICETEX[[#This Row],[fecha_ultimo_movimiento]],UVR!A:B,2,0)</f>
        <v>316.5582</v>
      </c>
      <c r="N552" s="24">
        <v>348</v>
      </c>
      <c r="O552" t="s">
        <v>3264</v>
      </c>
    </row>
    <row r="553" spans="1:15" ht="15" thickBot="1">
      <c r="A553" s="6">
        <v>552</v>
      </c>
      <c r="B553" s="1" t="s">
        <v>1874</v>
      </c>
      <c r="C553" s="1" t="s">
        <v>1875</v>
      </c>
      <c r="D553" s="2">
        <v>271971560</v>
      </c>
      <c r="E553" s="1" t="s">
        <v>45</v>
      </c>
      <c r="F553" s="25">
        <v>45010.19</v>
      </c>
      <c r="G553" s="4">
        <v>45456</v>
      </c>
      <c r="H553" s="4">
        <v>42553</v>
      </c>
      <c r="I553" s="1" t="s">
        <v>538</v>
      </c>
      <c r="J553" s="7" t="s">
        <v>1876</v>
      </c>
      <c r="K553" s="17">
        <v>381</v>
      </c>
      <c r="L553" t="str">
        <f ca="1">+IF(TODAY()-ICETEX[[#This Row],[fecha_ultimo_movimiento]]&gt;360,"Inactivo","Activo")</f>
        <v>Inactivo</v>
      </c>
      <c r="M553" s="24">
        <f>+VLOOKUP(ICETEX[[#This Row],[fecha_ultimo_movimiento]],UVR!A:B,2,0)</f>
        <v>372.15129999999999</v>
      </c>
      <c r="N553" s="24">
        <v>121</v>
      </c>
      <c r="O553" t="s">
        <v>3265</v>
      </c>
    </row>
    <row r="554" spans="1:15" ht="15" thickBot="1">
      <c r="A554" s="6">
        <v>553</v>
      </c>
      <c r="B554" s="1" t="s">
        <v>1877</v>
      </c>
      <c r="C554" s="1" t="s">
        <v>1878</v>
      </c>
      <c r="D554" s="2">
        <v>71100010</v>
      </c>
      <c r="E554" s="1" t="s">
        <v>12</v>
      </c>
      <c r="F554" s="25">
        <v>28846.48</v>
      </c>
      <c r="G554" s="4">
        <v>43932</v>
      </c>
      <c r="H554" s="4">
        <v>43057</v>
      </c>
      <c r="I554" s="1" t="s">
        <v>471</v>
      </c>
      <c r="J554" s="7" t="s">
        <v>1879</v>
      </c>
      <c r="K554" s="17">
        <v>1905</v>
      </c>
      <c r="L554" t="str">
        <f ca="1">+IF(TODAY()-ICETEX[[#This Row],[fecha_ultimo_movimiento]]&gt;360,"Inactivo","Activo")</f>
        <v>Inactivo</v>
      </c>
      <c r="M554" s="24">
        <f>+VLOOKUP(ICETEX[[#This Row],[fecha_ultimo_movimiento]],UVR!A:B,2,0)</f>
        <v>274.27949999999998</v>
      </c>
      <c r="N554" s="24">
        <v>105</v>
      </c>
      <c r="O554" t="s">
        <v>3265</v>
      </c>
    </row>
    <row r="555" spans="1:15" ht="26.5" thickBot="1">
      <c r="A555" s="6">
        <v>554</v>
      </c>
      <c r="B555" s="1" t="s">
        <v>1880</v>
      </c>
      <c r="C555" s="1" t="s">
        <v>1881</v>
      </c>
      <c r="D555" s="2">
        <v>83905892</v>
      </c>
      <c r="E555" s="1" t="s">
        <v>12</v>
      </c>
      <c r="F555" s="25">
        <v>199241.4</v>
      </c>
      <c r="G555" s="4">
        <v>44509</v>
      </c>
      <c r="H555" s="4">
        <v>42527</v>
      </c>
      <c r="I555" s="1" t="s">
        <v>1882</v>
      </c>
      <c r="J555" s="7" t="s">
        <v>1883</v>
      </c>
      <c r="K555" s="17">
        <v>1328</v>
      </c>
      <c r="L555" t="str">
        <f ca="1">+IF(TODAY()-ICETEX[[#This Row],[fecha_ultimo_movimiento]]&gt;360,"Inactivo","Activo")</f>
        <v>Inactivo</v>
      </c>
      <c r="M555" s="24">
        <f>+VLOOKUP(ICETEX[[#This Row],[fecha_ultimo_movimiento]],UVR!A:B,2,0)</f>
        <v>287.63709999999998</v>
      </c>
      <c r="N555" s="24">
        <v>693</v>
      </c>
      <c r="O555" t="s">
        <v>3264</v>
      </c>
    </row>
    <row r="556" spans="1:15" ht="15" thickBot="1">
      <c r="A556" s="6">
        <v>555</v>
      </c>
      <c r="B556" s="1" t="s">
        <v>1884</v>
      </c>
      <c r="C556" s="1" t="s">
        <v>1885</v>
      </c>
      <c r="D556" s="2">
        <v>74000078</v>
      </c>
      <c r="E556" s="1" t="s">
        <v>12</v>
      </c>
      <c r="F556" s="25">
        <v>132536.57</v>
      </c>
      <c r="G556" s="4">
        <v>45459</v>
      </c>
      <c r="H556" s="4">
        <v>42497</v>
      </c>
      <c r="I556" s="1" t="s">
        <v>1014</v>
      </c>
      <c r="J556" s="7" t="s">
        <v>1886</v>
      </c>
      <c r="K556" s="17">
        <v>378</v>
      </c>
      <c r="L556" t="str">
        <f ca="1">+IF(TODAY()-ICETEX[[#This Row],[fecha_ultimo_movimiento]]&gt;360,"Inactivo","Activo")</f>
        <v>Inactivo</v>
      </c>
      <c r="M556" s="24">
        <f>+VLOOKUP(ICETEX[[#This Row],[fecha_ultimo_movimiento]],UVR!A:B,2,0)</f>
        <v>372.3458</v>
      </c>
      <c r="N556" s="24">
        <v>356</v>
      </c>
      <c r="O556" t="s">
        <v>3264</v>
      </c>
    </row>
    <row r="557" spans="1:15" ht="15" thickBot="1">
      <c r="A557" s="6">
        <v>556</v>
      </c>
      <c r="B557" s="1" t="s">
        <v>1887</v>
      </c>
      <c r="C557" s="1" t="s">
        <v>1888</v>
      </c>
      <c r="D557" s="2">
        <v>104913048</v>
      </c>
      <c r="E557" s="1" t="s">
        <v>45</v>
      </c>
      <c r="F557" s="25">
        <v>99030.48</v>
      </c>
      <c r="G557" s="4">
        <v>43893</v>
      </c>
      <c r="H557" s="4">
        <v>43150</v>
      </c>
      <c r="I557" s="1" t="s">
        <v>1266</v>
      </c>
      <c r="J557" s="7" t="s">
        <v>1889</v>
      </c>
      <c r="K557" s="17">
        <v>1944</v>
      </c>
      <c r="L557" t="str">
        <f ca="1">+IF(TODAY()-ICETEX[[#This Row],[fecha_ultimo_movimiento]]&gt;360,"Inactivo","Activo")</f>
        <v>Inactivo</v>
      </c>
      <c r="M557" s="24">
        <f>+VLOOKUP(ICETEX[[#This Row],[fecha_ultimo_movimiento]],UVR!A:B,2,0)</f>
        <v>272.21640000000002</v>
      </c>
      <c r="N557" s="24">
        <v>364</v>
      </c>
      <c r="O557" t="s">
        <v>3264</v>
      </c>
    </row>
    <row r="558" spans="1:15" ht="15" thickBot="1">
      <c r="A558" s="6">
        <v>557</v>
      </c>
      <c r="B558" s="1" t="s">
        <v>1890</v>
      </c>
      <c r="C558" s="1" t="s">
        <v>1891</v>
      </c>
      <c r="D558" s="2">
        <v>64108647</v>
      </c>
      <c r="E558" s="1" t="s">
        <v>12</v>
      </c>
      <c r="F558" s="25">
        <v>45962.49</v>
      </c>
      <c r="G558" s="4">
        <v>44150</v>
      </c>
      <c r="H558" s="4">
        <v>42919</v>
      </c>
      <c r="I558" s="1" t="s">
        <v>1351</v>
      </c>
      <c r="J558" s="7" t="s">
        <v>1892</v>
      </c>
      <c r="K558" s="17">
        <v>1687</v>
      </c>
      <c r="L558" t="str">
        <f ca="1">+IF(TODAY()-ICETEX[[#This Row],[fecha_ultimo_movimiento]]&gt;360,"Inactivo","Activo")</f>
        <v>Inactivo</v>
      </c>
      <c r="M558" s="24">
        <f>+VLOOKUP(ICETEX[[#This Row],[fecha_ultimo_movimiento]],UVR!A:B,2,0)</f>
        <v>275.44110000000001</v>
      </c>
      <c r="N558" s="24">
        <v>167</v>
      </c>
      <c r="O558" t="s">
        <v>3265</v>
      </c>
    </row>
    <row r="559" spans="1:15" ht="15" thickBot="1">
      <c r="A559" s="6">
        <v>558</v>
      </c>
      <c r="B559" s="1" t="s">
        <v>1893</v>
      </c>
      <c r="C559" s="1" t="s">
        <v>1894</v>
      </c>
      <c r="D559" s="2">
        <v>103902717</v>
      </c>
      <c r="E559" s="1" t="s">
        <v>12</v>
      </c>
      <c r="F559" s="25">
        <v>164575.92000000001</v>
      </c>
      <c r="G559" s="4">
        <v>44030</v>
      </c>
      <c r="H559" s="4">
        <v>42371</v>
      </c>
      <c r="I559" s="1" t="s">
        <v>892</v>
      </c>
      <c r="J559" s="8" t="s">
        <v>1895</v>
      </c>
      <c r="K559" s="17">
        <v>1807</v>
      </c>
      <c r="L559" t="str">
        <f ca="1">+IF(TODAY()-ICETEX[[#This Row],[fecha_ultimo_movimiento]]&gt;360,"Inactivo","Activo")</f>
        <v>Inactivo</v>
      </c>
      <c r="M559" s="24">
        <f>+VLOOKUP(ICETEX[[#This Row],[fecha_ultimo_movimiento]],UVR!A:B,2,0)</f>
        <v>275.53590000000003</v>
      </c>
      <c r="N559" s="24">
        <v>597</v>
      </c>
      <c r="O559" t="s">
        <v>3264</v>
      </c>
    </row>
    <row r="560" spans="1:15" ht="15" thickBot="1">
      <c r="A560" s="6">
        <v>559</v>
      </c>
      <c r="B560" s="1" t="s">
        <v>1896</v>
      </c>
      <c r="C560" s="1" t="s">
        <v>1897</v>
      </c>
      <c r="D560" s="2">
        <v>104102257</v>
      </c>
      <c r="E560" s="1" t="s">
        <v>45</v>
      </c>
      <c r="F560" s="25">
        <v>137763.56</v>
      </c>
      <c r="G560" s="4">
        <v>44057</v>
      </c>
      <c r="H560" s="4">
        <v>43285</v>
      </c>
      <c r="I560" s="1" t="s">
        <v>1898</v>
      </c>
      <c r="J560" s="7" t="s">
        <v>1899</v>
      </c>
      <c r="K560" s="17">
        <v>1780</v>
      </c>
      <c r="L560" t="str">
        <f ca="1">+IF(TODAY()-ICETEX[[#This Row],[fecha_ultimo_movimiento]]&gt;360,"Inactivo","Activo")</f>
        <v>Inactivo</v>
      </c>
      <c r="M560" s="24">
        <f>+VLOOKUP(ICETEX[[#This Row],[fecha_ultimo_movimiento]],UVR!A:B,2,0)</f>
        <v>274.62369999999999</v>
      </c>
      <c r="N560" s="24">
        <v>502</v>
      </c>
      <c r="O560" t="s">
        <v>3264</v>
      </c>
    </row>
    <row r="561" spans="1:15" ht="15" thickBot="1">
      <c r="A561" s="6">
        <v>560</v>
      </c>
      <c r="B561" s="1" t="s">
        <v>1900</v>
      </c>
      <c r="C561" s="1" t="s">
        <v>1901</v>
      </c>
      <c r="D561" s="2">
        <v>101100993</v>
      </c>
      <c r="E561" s="1" t="s">
        <v>12</v>
      </c>
      <c r="F561" s="25">
        <v>89755.44</v>
      </c>
      <c r="G561" s="4">
        <v>44637</v>
      </c>
      <c r="H561" s="4">
        <v>42813</v>
      </c>
      <c r="I561" s="1" t="s">
        <v>1902</v>
      </c>
      <c r="J561" s="7" t="s">
        <v>1903</v>
      </c>
      <c r="K561" s="17">
        <v>1200</v>
      </c>
      <c r="L561" t="str">
        <f ca="1">+IF(TODAY()-ICETEX[[#This Row],[fecha_ultimo_movimiento]]&gt;360,"Inactivo","Activo")</f>
        <v>Inactivo</v>
      </c>
      <c r="M561" s="24">
        <f>+VLOOKUP(ICETEX[[#This Row],[fecha_ultimo_movimiento]],UVR!A:B,2,0)</f>
        <v>296.6046</v>
      </c>
      <c r="N561" s="24">
        <v>303</v>
      </c>
      <c r="O561" t="s">
        <v>3265</v>
      </c>
    </row>
    <row r="562" spans="1:15" ht="15" thickBot="1">
      <c r="A562" s="6">
        <v>561</v>
      </c>
      <c r="B562" s="1" t="s">
        <v>1904</v>
      </c>
      <c r="C562" s="1" t="s">
        <v>1905</v>
      </c>
      <c r="D562" s="2">
        <v>122237544</v>
      </c>
      <c r="E562" s="1" t="s">
        <v>45</v>
      </c>
      <c r="F562" s="25">
        <v>213426.18</v>
      </c>
      <c r="G562" s="4">
        <v>45741</v>
      </c>
      <c r="H562" s="4">
        <v>43143</v>
      </c>
      <c r="I562" s="1" t="s">
        <v>495</v>
      </c>
      <c r="J562" s="7" t="s">
        <v>1906</v>
      </c>
      <c r="K562" s="17">
        <v>96</v>
      </c>
      <c r="L562" t="str">
        <f ca="1">+IF(TODAY()-ICETEX[[#This Row],[fecha_ultimo_movimiento]]&gt;360,"Inactivo","Activo")</f>
        <v>Activo</v>
      </c>
      <c r="M562" s="24">
        <f>+VLOOKUP(ICETEX[[#This Row],[fecha_ultimo_movimiento]],UVR!A:B,2,0)</f>
        <v>383.96769999999998</v>
      </c>
      <c r="N562" s="24">
        <v>556</v>
      </c>
      <c r="O562" t="s">
        <v>3264</v>
      </c>
    </row>
    <row r="563" spans="1:15" ht="15" thickBot="1">
      <c r="A563" s="6">
        <v>562</v>
      </c>
      <c r="B563" s="1" t="s">
        <v>1907</v>
      </c>
      <c r="C563" s="1" t="s">
        <v>1908</v>
      </c>
      <c r="D563" s="2">
        <v>82901826</v>
      </c>
      <c r="E563" s="1" t="s">
        <v>45</v>
      </c>
      <c r="F563" s="25">
        <v>179565.32</v>
      </c>
      <c r="G563" s="4">
        <v>44295</v>
      </c>
      <c r="H563" s="4">
        <v>42665</v>
      </c>
      <c r="I563" s="1" t="s">
        <v>780</v>
      </c>
      <c r="J563" s="7" t="s">
        <v>1909</v>
      </c>
      <c r="K563" s="17">
        <v>1542</v>
      </c>
      <c r="L563" t="str">
        <f ca="1">+IF(TODAY()-ICETEX[[#This Row],[fecha_ultimo_movimiento]]&gt;360,"Inactivo","Activo")</f>
        <v>Inactivo</v>
      </c>
      <c r="M563" s="24">
        <f>+VLOOKUP(ICETEX[[#This Row],[fecha_ultimo_movimiento]],UVR!A:B,2,0)</f>
        <v>278.4676</v>
      </c>
      <c r="N563" s="24">
        <v>645</v>
      </c>
      <c r="O563" t="s">
        <v>3264</v>
      </c>
    </row>
    <row r="564" spans="1:15" ht="15" thickBot="1">
      <c r="A564" s="6">
        <v>563</v>
      </c>
      <c r="B564" s="1" t="s">
        <v>1910</v>
      </c>
      <c r="C564" s="1" t="s">
        <v>1911</v>
      </c>
      <c r="D564" s="2">
        <v>61020317</v>
      </c>
      <c r="E564" s="1" t="s">
        <v>45</v>
      </c>
      <c r="F564" s="25">
        <v>110417.03</v>
      </c>
      <c r="G564" s="4">
        <v>44186</v>
      </c>
      <c r="H564" s="4">
        <v>42682</v>
      </c>
      <c r="I564" s="1" t="s">
        <v>780</v>
      </c>
      <c r="J564" s="7" t="s">
        <v>1912</v>
      </c>
      <c r="K564" s="17">
        <v>1651</v>
      </c>
      <c r="L564" t="str">
        <f ca="1">+IF(TODAY()-ICETEX[[#This Row],[fecha_ultimo_movimiento]]&gt;360,"Inactivo","Activo")</f>
        <v>Inactivo</v>
      </c>
      <c r="M564" s="24">
        <f>+VLOOKUP(ICETEX[[#This Row],[fecha_ultimo_movimiento]],UVR!A:B,2,0)</f>
        <v>275.19580000000002</v>
      </c>
      <c r="N564" s="24">
        <v>401</v>
      </c>
      <c r="O564" t="s">
        <v>3264</v>
      </c>
    </row>
    <row r="565" spans="1:15" ht="15" thickBot="1">
      <c r="A565" s="6">
        <v>564</v>
      </c>
      <c r="B565" s="1" t="s">
        <v>1913</v>
      </c>
      <c r="C565" s="1" t="s">
        <v>1914</v>
      </c>
      <c r="D565" s="2">
        <v>73903312</v>
      </c>
      <c r="E565" s="1" t="s">
        <v>12</v>
      </c>
      <c r="F565" s="25">
        <v>154466.15</v>
      </c>
      <c r="G565" s="4">
        <v>44002</v>
      </c>
      <c r="H565" s="4">
        <v>43170</v>
      </c>
      <c r="I565" s="1" t="s">
        <v>1915</v>
      </c>
      <c r="J565" s="7" t="s">
        <v>1916</v>
      </c>
      <c r="K565" s="17">
        <v>1835</v>
      </c>
      <c r="L565" t="str">
        <f ca="1">+IF(TODAY()-ICETEX[[#This Row],[fecha_ultimo_movimiento]]&gt;360,"Inactivo","Activo")</f>
        <v>Inactivo</v>
      </c>
      <c r="M565" s="24">
        <f>+VLOOKUP(ICETEX[[#This Row],[fecha_ultimo_movimiento]],UVR!A:B,2,0)</f>
        <v>276.37459999999999</v>
      </c>
      <c r="N565" s="24">
        <v>559</v>
      </c>
      <c r="O565" t="s">
        <v>3264</v>
      </c>
    </row>
    <row r="566" spans="1:15" ht="15" thickBot="1">
      <c r="A566" s="6">
        <v>565</v>
      </c>
      <c r="B566" s="1" t="s">
        <v>1917</v>
      </c>
      <c r="C566" s="1" t="s">
        <v>1918</v>
      </c>
      <c r="D566" s="2">
        <v>53112246</v>
      </c>
      <c r="E566" s="1" t="s">
        <v>12</v>
      </c>
      <c r="F566" s="25">
        <v>107038.1</v>
      </c>
      <c r="G566" s="4">
        <v>45223</v>
      </c>
      <c r="H566" s="4">
        <v>42896</v>
      </c>
      <c r="I566" s="1" t="s">
        <v>29</v>
      </c>
      <c r="J566" s="7" t="s">
        <v>1919</v>
      </c>
      <c r="K566" s="17">
        <v>614</v>
      </c>
      <c r="L566" t="str">
        <f ca="1">+IF(TODAY()-ICETEX[[#This Row],[fecha_ultimo_movimiento]]&gt;360,"Inactivo","Activo")</f>
        <v>Inactivo</v>
      </c>
      <c r="M566" s="24">
        <f>+VLOOKUP(ICETEX[[#This Row],[fecha_ultimo_movimiento]],UVR!A:B,2,0)</f>
        <v>354.71870000000001</v>
      </c>
      <c r="N566" s="24">
        <v>302</v>
      </c>
      <c r="O566" t="s">
        <v>3265</v>
      </c>
    </row>
    <row r="567" spans="1:15" ht="15" thickBot="1">
      <c r="A567" s="6">
        <v>566</v>
      </c>
      <c r="B567" s="1" t="s">
        <v>1920</v>
      </c>
      <c r="C567" s="1" t="s">
        <v>1921</v>
      </c>
      <c r="D567" s="2">
        <v>65404544</v>
      </c>
      <c r="E567" s="1" t="s">
        <v>12</v>
      </c>
      <c r="F567" s="25">
        <v>134207.01</v>
      </c>
      <c r="G567" s="4">
        <v>45069</v>
      </c>
      <c r="H567" s="4">
        <v>42534</v>
      </c>
      <c r="I567" s="1" t="s">
        <v>549</v>
      </c>
      <c r="J567" s="7" t="s">
        <v>1922</v>
      </c>
      <c r="K567" s="17">
        <v>768</v>
      </c>
      <c r="L567" t="str">
        <f ca="1">+IF(TODAY()-ICETEX[[#This Row],[fecha_ultimo_movimiento]]&gt;360,"Inactivo","Activo")</f>
        <v>Inactivo</v>
      </c>
      <c r="M567" s="24">
        <f>+VLOOKUP(ICETEX[[#This Row],[fecha_ultimo_movimiento]],UVR!A:B,2,0)</f>
        <v>345.4153</v>
      </c>
      <c r="N567" s="24">
        <v>389</v>
      </c>
      <c r="O567" t="s">
        <v>3264</v>
      </c>
    </row>
    <row r="568" spans="1:15" ht="15" thickBot="1">
      <c r="A568" s="6">
        <v>567</v>
      </c>
      <c r="B568" s="1" t="s">
        <v>1923</v>
      </c>
      <c r="C568" s="1" t="s">
        <v>1924</v>
      </c>
      <c r="D568" s="2">
        <v>273970585</v>
      </c>
      <c r="E568" s="1" t="s">
        <v>12</v>
      </c>
      <c r="F568" s="25">
        <v>111636.65</v>
      </c>
      <c r="G568" s="4">
        <v>45810</v>
      </c>
      <c r="H568" s="4">
        <v>42564</v>
      </c>
      <c r="I568" s="1" t="s">
        <v>1925</v>
      </c>
      <c r="J568" s="7" t="s">
        <v>1926</v>
      </c>
      <c r="K568" s="17">
        <v>27</v>
      </c>
      <c r="L568" t="str">
        <f ca="1">+IF(TODAY()-ICETEX[[#This Row],[fecha_ultimo_movimiento]]&gt;360,"Inactivo","Activo")</f>
        <v>Activo</v>
      </c>
      <c r="M568" s="24">
        <f>+VLOOKUP(ICETEX[[#This Row],[fecha_ultimo_movimiento]],UVR!A:B,2,0)</f>
        <v>390.428</v>
      </c>
      <c r="N568" s="24">
        <v>286</v>
      </c>
      <c r="O568" t="s">
        <v>3264</v>
      </c>
    </row>
    <row r="569" spans="1:15" ht="15" thickBot="1">
      <c r="A569" s="6">
        <v>568</v>
      </c>
      <c r="B569" s="1" t="s">
        <v>1927</v>
      </c>
      <c r="C569" s="1" t="s">
        <v>1928</v>
      </c>
      <c r="D569" s="2">
        <v>91806381</v>
      </c>
      <c r="E569" s="1" t="s">
        <v>45</v>
      </c>
      <c r="F569" s="25">
        <v>191062.16</v>
      </c>
      <c r="G569" s="4">
        <v>44530</v>
      </c>
      <c r="H569" s="4">
        <v>42410</v>
      </c>
      <c r="I569" s="1" t="s">
        <v>1929</v>
      </c>
      <c r="J569" s="7" t="s">
        <v>1930</v>
      </c>
      <c r="K569" s="17">
        <v>1307</v>
      </c>
      <c r="L569" t="str">
        <f ca="1">+IF(TODAY()-ICETEX[[#This Row],[fecha_ultimo_movimiento]]&gt;360,"Inactivo","Activo")</f>
        <v>Inactivo</v>
      </c>
      <c r="M569" s="24">
        <f>+VLOOKUP(ICETEX[[#This Row],[fecha_ultimo_movimiento]],UVR!A:B,2,0)</f>
        <v>287.86270000000002</v>
      </c>
      <c r="N569" s="24">
        <v>664</v>
      </c>
      <c r="O569" t="s">
        <v>3264</v>
      </c>
    </row>
    <row r="570" spans="1:15" ht="15" thickBot="1">
      <c r="A570" s="6">
        <v>569</v>
      </c>
      <c r="B570" s="1" t="s">
        <v>1931</v>
      </c>
      <c r="C570" s="1" t="s">
        <v>1932</v>
      </c>
      <c r="D570" s="2">
        <v>84101323</v>
      </c>
      <c r="E570" s="1" t="s">
        <v>45</v>
      </c>
      <c r="F570" s="25">
        <v>106595.57</v>
      </c>
      <c r="G570" s="4">
        <v>45548</v>
      </c>
      <c r="H570" s="4">
        <v>43222</v>
      </c>
      <c r="I570" s="1" t="s">
        <v>780</v>
      </c>
      <c r="J570" s="7" t="s">
        <v>1933</v>
      </c>
      <c r="K570" s="17">
        <v>289</v>
      </c>
      <c r="L570" t="str">
        <f ca="1">+IF(TODAY()-ICETEX[[#This Row],[fecha_ultimo_movimiento]]&gt;360,"Inactivo","Activo")</f>
        <v>Activo</v>
      </c>
      <c r="M570" s="24">
        <f>+VLOOKUP(ICETEX[[#This Row],[fecha_ultimo_movimiento]],UVR!A:B,2,0)</f>
        <v>375.79160000000002</v>
      </c>
      <c r="N570" s="24">
        <v>284</v>
      </c>
      <c r="O570" t="s">
        <v>3264</v>
      </c>
    </row>
    <row r="571" spans="1:15" ht="15" thickBot="1">
      <c r="A571" s="6">
        <v>570</v>
      </c>
      <c r="B571" s="1" t="s">
        <v>1241</v>
      </c>
      <c r="C571" s="1" t="s">
        <v>1934</v>
      </c>
      <c r="D571" s="2">
        <v>111307430</v>
      </c>
      <c r="E571" s="1" t="s">
        <v>12</v>
      </c>
      <c r="F571" s="25">
        <v>190376.42</v>
      </c>
      <c r="G571" s="4">
        <v>45374</v>
      </c>
      <c r="H571" s="4">
        <v>42548</v>
      </c>
      <c r="I571" s="1" t="s">
        <v>155</v>
      </c>
      <c r="J571" s="7" t="s">
        <v>1080</v>
      </c>
      <c r="K571" s="17">
        <v>463</v>
      </c>
      <c r="L571" t="str">
        <f ca="1">+IF(TODAY()-ICETEX[[#This Row],[fecha_ultimo_movimiento]]&gt;360,"Inactivo","Activo")</f>
        <v>Inactivo</v>
      </c>
      <c r="M571" s="24">
        <f>+VLOOKUP(ICETEX[[#This Row],[fecha_ultimo_movimiento]],UVR!A:B,2,0)</f>
        <v>364.59179999999998</v>
      </c>
      <c r="N571" s="24">
        <v>522</v>
      </c>
      <c r="O571" t="s">
        <v>3264</v>
      </c>
    </row>
    <row r="572" spans="1:15" ht="15" thickBot="1">
      <c r="A572" s="6">
        <v>571</v>
      </c>
      <c r="B572" s="1" t="s">
        <v>1935</v>
      </c>
      <c r="C572" s="1" t="s">
        <v>1936</v>
      </c>
      <c r="D572" s="2">
        <v>21031207</v>
      </c>
      <c r="E572" s="1" t="s">
        <v>12</v>
      </c>
      <c r="F572" s="25">
        <v>194335.11</v>
      </c>
      <c r="G572" s="4">
        <v>45500</v>
      </c>
      <c r="H572" s="4">
        <v>42720</v>
      </c>
      <c r="I572" s="1" t="s">
        <v>383</v>
      </c>
      <c r="J572" s="7" t="s">
        <v>1937</v>
      </c>
      <c r="K572" s="17">
        <v>337</v>
      </c>
      <c r="L572" t="str">
        <f ca="1">+IF(TODAY()-ICETEX[[#This Row],[fecha_ultimo_movimiento]]&gt;360,"Inactivo","Activo")</f>
        <v>Activo</v>
      </c>
      <c r="M572" s="24">
        <f>+VLOOKUP(ICETEX[[#This Row],[fecha_ultimo_movimiento]],UVR!A:B,2,0)</f>
        <v>374.35610000000003</v>
      </c>
      <c r="N572" s="24">
        <v>519</v>
      </c>
      <c r="O572" t="s">
        <v>3264</v>
      </c>
    </row>
    <row r="573" spans="1:15" ht="15" thickBot="1">
      <c r="A573" s="6">
        <v>572</v>
      </c>
      <c r="B573" s="1" t="s">
        <v>1938</v>
      </c>
      <c r="C573" s="1" t="s">
        <v>1939</v>
      </c>
      <c r="D573" s="2">
        <v>251473758</v>
      </c>
      <c r="E573" s="1" t="s">
        <v>45</v>
      </c>
      <c r="F573" s="25">
        <v>47396.93</v>
      </c>
      <c r="G573" s="4">
        <v>44534</v>
      </c>
      <c r="H573" s="4">
        <v>43254</v>
      </c>
      <c r="I573" s="1" t="s">
        <v>1940</v>
      </c>
      <c r="J573" s="7" t="s">
        <v>1941</v>
      </c>
      <c r="K573" s="17">
        <v>1303</v>
      </c>
      <c r="L573" t="str">
        <f ca="1">+IF(TODAY()-ICETEX[[#This Row],[fecha_ultimo_movimiento]]&gt;360,"Inactivo","Activo")</f>
        <v>Inactivo</v>
      </c>
      <c r="M573" s="24">
        <f>+VLOOKUP(ICETEX[[#This Row],[fecha_ultimo_movimiento]],UVR!A:B,2,0)</f>
        <v>287.86649999999997</v>
      </c>
      <c r="N573" s="24">
        <v>165</v>
      </c>
      <c r="O573" t="s">
        <v>3265</v>
      </c>
    </row>
    <row r="574" spans="1:15" ht="15" thickBot="1">
      <c r="A574" s="6">
        <v>573</v>
      </c>
      <c r="B574" s="1" t="s">
        <v>1942</v>
      </c>
      <c r="C574" s="1" t="s">
        <v>1943</v>
      </c>
      <c r="D574" s="2">
        <v>72413858</v>
      </c>
      <c r="E574" s="1" t="s">
        <v>45</v>
      </c>
      <c r="F574" s="25">
        <v>111614.6</v>
      </c>
      <c r="G574" s="4">
        <v>44415</v>
      </c>
      <c r="H574" s="4">
        <v>42544</v>
      </c>
      <c r="I574" s="1" t="s">
        <v>270</v>
      </c>
      <c r="J574" s="7" t="s">
        <v>1944</v>
      </c>
      <c r="K574" s="17">
        <v>1422</v>
      </c>
      <c r="L574" t="str">
        <f ca="1">+IF(TODAY()-ICETEX[[#This Row],[fecha_ultimo_movimiento]]&gt;360,"Inactivo","Activo")</f>
        <v>Inactivo</v>
      </c>
      <c r="M574" s="24">
        <f>+VLOOKUP(ICETEX[[#This Row],[fecha_ultimo_movimiento]],UVR!A:B,2,0)</f>
        <v>284.60019999999997</v>
      </c>
      <c r="N574" s="24">
        <v>392</v>
      </c>
      <c r="O574" t="s">
        <v>3264</v>
      </c>
    </row>
    <row r="575" spans="1:15" ht="15" thickBot="1">
      <c r="A575" s="6">
        <v>574</v>
      </c>
      <c r="B575" s="1" t="s">
        <v>1945</v>
      </c>
      <c r="C575" s="1" t="s">
        <v>1946</v>
      </c>
      <c r="D575" s="2">
        <v>26007906</v>
      </c>
      <c r="E575" s="1" t="s">
        <v>45</v>
      </c>
      <c r="F575" s="25">
        <v>202226.96</v>
      </c>
      <c r="G575" s="4">
        <v>44120</v>
      </c>
      <c r="H575" s="4">
        <v>42918</v>
      </c>
      <c r="I575" s="1" t="s">
        <v>1947</v>
      </c>
      <c r="J575" s="7" t="s">
        <v>1948</v>
      </c>
      <c r="K575" s="17">
        <v>1717</v>
      </c>
      <c r="L575" t="str">
        <f ca="1">+IF(TODAY()-ICETEX[[#This Row],[fecha_ultimo_movimiento]]&gt;360,"Inactivo","Activo")</f>
        <v>Inactivo</v>
      </c>
      <c r="M575" s="24">
        <f>+VLOOKUP(ICETEX[[#This Row],[fecha_ultimo_movimiento]],UVR!A:B,2,0)</f>
        <v>274.5908</v>
      </c>
      <c r="N575" s="24">
        <v>736</v>
      </c>
      <c r="O575" t="s">
        <v>3264</v>
      </c>
    </row>
    <row r="576" spans="1:15" ht="15" thickBot="1">
      <c r="A576" s="6">
        <v>575</v>
      </c>
      <c r="B576" s="1" t="s">
        <v>1949</v>
      </c>
      <c r="C576" s="1" t="s">
        <v>1950</v>
      </c>
      <c r="D576" s="2">
        <v>61102701</v>
      </c>
      <c r="E576" s="1" t="s">
        <v>45</v>
      </c>
      <c r="F576" s="25">
        <v>75869.83</v>
      </c>
      <c r="G576" s="4">
        <v>45452</v>
      </c>
      <c r="H576" s="4">
        <v>43253</v>
      </c>
      <c r="I576" s="1" t="s">
        <v>1252</v>
      </c>
      <c r="J576" s="7" t="s">
        <v>1951</v>
      </c>
      <c r="K576" s="17">
        <v>385</v>
      </c>
      <c r="L576" t="str">
        <f ca="1">+IF(TODAY()-ICETEX[[#This Row],[fecha_ultimo_movimiento]]&gt;360,"Inactivo","Activo")</f>
        <v>Inactivo</v>
      </c>
      <c r="M576" s="24">
        <f>+VLOOKUP(ICETEX[[#This Row],[fecha_ultimo_movimiento]],UVR!A:B,2,0)</f>
        <v>371.8689</v>
      </c>
      <c r="N576" s="24">
        <v>204</v>
      </c>
      <c r="O576" t="s">
        <v>3265</v>
      </c>
    </row>
    <row r="577" spans="1:15" ht="15" thickBot="1">
      <c r="A577" s="6">
        <v>576</v>
      </c>
      <c r="B577" s="1" t="s">
        <v>1952</v>
      </c>
      <c r="C577" s="1" t="s">
        <v>1953</v>
      </c>
      <c r="D577" s="2">
        <v>103000619</v>
      </c>
      <c r="E577" s="1" t="s">
        <v>12</v>
      </c>
      <c r="F577" s="25">
        <v>109600.4</v>
      </c>
      <c r="G577" s="4">
        <v>45643</v>
      </c>
      <c r="H577" s="4">
        <v>43137</v>
      </c>
      <c r="I577" s="1" t="s">
        <v>471</v>
      </c>
      <c r="J577" s="7" t="s">
        <v>1954</v>
      </c>
      <c r="K577" s="17">
        <v>194</v>
      </c>
      <c r="L577" t="str">
        <f ca="1">+IF(TODAY()-ICETEX[[#This Row],[fecha_ultimo_movimiento]]&gt;360,"Inactivo","Activo")</f>
        <v>Activo</v>
      </c>
      <c r="M577" s="24">
        <f>+VLOOKUP(ICETEX[[#This Row],[fecha_ultimo_movimiento]],UVR!A:B,2,0)</f>
        <v>376.31779999999998</v>
      </c>
      <c r="N577" s="24">
        <v>291</v>
      </c>
      <c r="O577" t="s">
        <v>3264</v>
      </c>
    </row>
    <row r="578" spans="1:15" ht="15" thickBot="1">
      <c r="A578" s="6">
        <v>577</v>
      </c>
      <c r="B578" s="1" t="s">
        <v>1955</v>
      </c>
      <c r="C578" s="1" t="s">
        <v>1956</v>
      </c>
      <c r="D578" s="2">
        <v>62103136</v>
      </c>
      <c r="E578" s="1" t="s">
        <v>12</v>
      </c>
      <c r="F578" s="25">
        <v>89143.86</v>
      </c>
      <c r="G578" s="4">
        <v>44441</v>
      </c>
      <c r="H578" s="4">
        <v>43271</v>
      </c>
      <c r="I578" s="1" t="s">
        <v>25</v>
      </c>
      <c r="J578" s="7" t="s">
        <v>1957</v>
      </c>
      <c r="K578" s="17">
        <v>1396</v>
      </c>
      <c r="L578" t="str">
        <f ca="1">+IF(TODAY()-ICETEX[[#This Row],[fecha_ultimo_movimiento]]&gt;360,"Inactivo","Activo")</f>
        <v>Inactivo</v>
      </c>
      <c r="M578" s="24">
        <f>+VLOOKUP(ICETEX[[#This Row],[fecha_ultimo_movimiento]],UVR!A:B,2,0)</f>
        <v>285.09179999999998</v>
      </c>
      <c r="N578" s="24">
        <v>313</v>
      </c>
      <c r="O578" t="s">
        <v>3265</v>
      </c>
    </row>
    <row r="579" spans="1:15" ht="15" thickBot="1">
      <c r="A579" s="6">
        <v>578</v>
      </c>
      <c r="B579" s="1" t="s">
        <v>1958</v>
      </c>
      <c r="C579" s="1" t="s">
        <v>1959</v>
      </c>
      <c r="D579" s="2">
        <v>111912197</v>
      </c>
      <c r="E579" s="1" t="s">
        <v>12</v>
      </c>
      <c r="F579" s="25">
        <v>196019.5</v>
      </c>
      <c r="G579" s="4">
        <v>44059</v>
      </c>
      <c r="H579" s="4">
        <v>42663</v>
      </c>
      <c r="I579" s="1" t="s">
        <v>1960</v>
      </c>
      <c r="J579" s="7" t="s">
        <v>1961</v>
      </c>
      <c r="K579" s="17">
        <v>1778</v>
      </c>
      <c r="L579" t="str">
        <f ca="1">+IF(TODAY()-ICETEX[[#This Row],[fecha_ultimo_movimiento]]&gt;360,"Inactivo","Activo")</f>
        <v>Inactivo</v>
      </c>
      <c r="M579" s="24">
        <f>+VLOOKUP(ICETEX[[#This Row],[fecha_ultimo_movimiento]],UVR!A:B,2,0)</f>
        <v>274.58999999999997</v>
      </c>
      <c r="N579" s="24">
        <v>714</v>
      </c>
      <c r="O579" t="s">
        <v>3264</v>
      </c>
    </row>
    <row r="580" spans="1:15" ht="15" thickBot="1">
      <c r="A580" s="6">
        <v>579</v>
      </c>
      <c r="B580" s="1" t="s">
        <v>1962</v>
      </c>
      <c r="C580" s="1" t="s">
        <v>1963</v>
      </c>
      <c r="D580" s="2">
        <v>111104947</v>
      </c>
      <c r="E580" s="1" t="s">
        <v>45</v>
      </c>
      <c r="F580" s="25">
        <v>78327.16</v>
      </c>
      <c r="G580" s="4">
        <v>45077</v>
      </c>
      <c r="H580" s="4">
        <v>42788</v>
      </c>
      <c r="I580" s="1" t="s">
        <v>13</v>
      </c>
      <c r="J580" s="7" t="s">
        <v>1964</v>
      </c>
      <c r="K580" s="17">
        <v>760</v>
      </c>
      <c r="L580" t="str">
        <f ca="1">+IF(TODAY()-ICETEX[[#This Row],[fecha_ultimo_movimiento]]&gt;360,"Inactivo","Activo")</f>
        <v>Inactivo</v>
      </c>
      <c r="M580" s="24">
        <f>+VLOOKUP(ICETEX[[#This Row],[fecha_ultimo_movimiento]],UVR!A:B,2,0)</f>
        <v>346.10860000000002</v>
      </c>
      <c r="N580" s="24">
        <v>226</v>
      </c>
      <c r="O580" t="s">
        <v>3265</v>
      </c>
    </row>
    <row r="581" spans="1:15" ht="15" thickBot="1">
      <c r="A581" s="6">
        <v>580</v>
      </c>
      <c r="B581" s="1" t="s">
        <v>1965</v>
      </c>
      <c r="C581" s="1" t="s">
        <v>1966</v>
      </c>
      <c r="D581" s="2">
        <v>211174233</v>
      </c>
      <c r="E581" s="1" t="s">
        <v>12</v>
      </c>
      <c r="F581" s="25">
        <v>31173.42</v>
      </c>
      <c r="G581" s="4">
        <v>45051</v>
      </c>
      <c r="H581" s="4">
        <v>42874</v>
      </c>
      <c r="I581" s="1" t="s">
        <v>151</v>
      </c>
      <c r="J581" s="7" t="s">
        <v>1967</v>
      </c>
      <c r="K581" s="17">
        <v>786</v>
      </c>
      <c r="L581" t="str">
        <f ca="1">+IF(TODAY()-ICETEX[[#This Row],[fecha_ultimo_movimiento]]&gt;360,"Inactivo","Activo")</f>
        <v>Inactivo</v>
      </c>
      <c r="M581" s="24">
        <f>+VLOOKUP(ICETEX[[#This Row],[fecha_ultimo_movimiento]],UVR!A:B,2,0)</f>
        <v>343.52519999999998</v>
      </c>
      <c r="N581" s="24">
        <v>91</v>
      </c>
      <c r="O581" t="s">
        <v>3265</v>
      </c>
    </row>
    <row r="582" spans="1:15" ht="15" thickBot="1">
      <c r="A582" s="6">
        <v>581</v>
      </c>
      <c r="B582" s="1" t="s">
        <v>1968</v>
      </c>
      <c r="C582" s="1" t="s">
        <v>1969</v>
      </c>
      <c r="D582" s="2">
        <v>111101157</v>
      </c>
      <c r="E582" s="1" t="s">
        <v>45</v>
      </c>
      <c r="F582" s="25">
        <v>174450.34</v>
      </c>
      <c r="G582" s="4">
        <v>44710</v>
      </c>
      <c r="H582" s="4">
        <v>43216</v>
      </c>
      <c r="I582" s="1" t="s">
        <v>13</v>
      </c>
      <c r="J582" s="7" t="s">
        <v>1970</v>
      </c>
      <c r="K582" s="17">
        <v>1127</v>
      </c>
      <c r="L582" t="str">
        <f ca="1">+IF(TODAY()-ICETEX[[#This Row],[fecha_ultimo_movimiento]]&gt;360,"Inactivo","Activo")</f>
        <v>Inactivo</v>
      </c>
      <c r="M582" s="24">
        <f>+VLOOKUP(ICETEX[[#This Row],[fecha_ultimo_movimiento]],UVR!A:B,2,0)</f>
        <v>305.84739999999999</v>
      </c>
      <c r="N582" s="24">
        <v>570</v>
      </c>
      <c r="O582" t="s">
        <v>3264</v>
      </c>
    </row>
    <row r="583" spans="1:15" ht="15" thickBot="1">
      <c r="A583" s="6">
        <v>582</v>
      </c>
      <c r="B583" s="1" t="s">
        <v>1971</v>
      </c>
      <c r="C583" s="1" t="s">
        <v>1972</v>
      </c>
      <c r="D583" s="2">
        <v>111311785</v>
      </c>
      <c r="E583" s="1" t="s">
        <v>45</v>
      </c>
      <c r="F583" s="25">
        <v>144406.89000000001</v>
      </c>
      <c r="G583" s="4">
        <v>44504</v>
      </c>
      <c r="H583" s="4">
        <v>43300</v>
      </c>
      <c r="I583" s="1" t="s">
        <v>1973</v>
      </c>
      <c r="J583" s="7" t="s">
        <v>1974</v>
      </c>
      <c r="K583" s="17">
        <v>1333</v>
      </c>
      <c r="L583" t="str">
        <f ca="1">+IF(TODAY()-ICETEX[[#This Row],[fecha_ultimo_movimiento]]&gt;360,"Inactivo","Activo")</f>
        <v>Inactivo</v>
      </c>
      <c r="M583" s="24">
        <f>+VLOOKUP(ICETEX[[#This Row],[fecha_ultimo_movimiento]],UVR!A:B,2,0)</f>
        <v>287.46109999999999</v>
      </c>
      <c r="N583" s="24">
        <v>502</v>
      </c>
      <c r="O583" t="s">
        <v>3264</v>
      </c>
    </row>
    <row r="584" spans="1:15" ht="15" thickBot="1">
      <c r="A584" s="6">
        <v>583</v>
      </c>
      <c r="B584" s="1" t="s">
        <v>1975</v>
      </c>
      <c r="C584" s="1" t="s">
        <v>1976</v>
      </c>
      <c r="D584" s="2">
        <v>122242018</v>
      </c>
      <c r="E584" s="1" t="s">
        <v>45</v>
      </c>
      <c r="F584" s="25">
        <v>46961.41</v>
      </c>
      <c r="G584" s="4">
        <v>44102</v>
      </c>
      <c r="H584" s="4">
        <v>42787</v>
      </c>
      <c r="I584" s="1" t="s">
        <v>1832</v>
      </c>
      <c r="J584" s="7" t="s">
        <v>1977</v>
      </c>
      <c r="K584" s="17">
        <v>1735</v>
      </c>
      <c r="L584" t="str">
        <f ca="1">+IF(TODAY()-ICETEX[[#This Row],[fecha_ultimo_movimiento]]&gt;360,"Inactivo","Activo")</f>
        <v>Inactivo</v>
      </c>
      <c r="M584" s="24">
        <f>+VLOOKUP(ICETEX[[#This Row],[fecha_ultimo_movimiento]],UVR!A:B,2,0)</f>
        <v>274.57810000000001</v>
      </c>
      <c r="N584" s="24">
        <v>171</v>
      </c>
      <c r="O584" t="s">
        <v>3265</v>
      </c>
    </row>
    <row r="585" spans="1:15" ht="15" thickBot="1">
      <c r="A585" s="6">
        <v>584</v>
      </c>
      <c r="B585" s="1" t="s">
        <v>1978</v>
      </c>
      <c r="C585" s="1" t="s">
        <v>1979</v>
      </c>
      <c r="D585" s="2">
        <v>125108858</v>
      </c>
      <c r="E585" s="1" t="s">
        <v>45</v>
      </c>
      <c r="F585" s="25">
        <v>52216.09</v>
      </c>
      <c r="G585" s="4">
        <v>44297</v>
      </c>
      <c r="H585" s="4">
        <v>43347</v>
      </c>
      <c r="I585" s="1" t="s">
        <v>263</v>
      </c>
      <c r="J585" s="7" t="s">
        <v>1980</v>
      </c>
      <c r="K585" s="17">
        <v>1540</v>
      </c>
      <c r="L585" t="str">
        <f ca="1">+IF(TODAY()-ICETEX[[#This Row],[fecha_ultimo_movimiento]]&gt;360,"Inactivo","Activo")</f>
        <v>Inactivo</v>
      </c>
      <c r="M585" s="24">
        <f>+VLOOKUP(ICETEX[[#This Row],[fecha_ultimo_movimiento]],UVR!A:B,2,0)</f>
        <v>278.5822</v>
      </c>
      <c r="N585" s="24">
        <v>187</v>
      </c>
      <c r="O585" t="s">
        <v>3265</v>
      </c>
    </row>
    <row r="586" spans="1:15" ht="15" thickBot="1">
      <c r="A586" s="6">
        <v>585</v>
      </c>
      <c r="B586" s="1" t="s">
        <v>1981</v>
      </c>
      <c r="C586" s="1" t="s">
        <v>1982</v>
      </c>
      <c r="D586" s="2">
        <v>84006729</v>
      </c>
      <c r="E586" s="1" t="s">
        <v>45</v>
      </c>
      <c r="F586" s="25">
        <v>118763.5</v>
      </c>
      <c r="G586" s="4">
        <v>44513</v>
      </c>
      <c r="H586" s="4">
        <v>42394</v>
      </c>
      <c r="I586" s="1" t="s">
        <v>1148</v>
      </c>
      <c r="J586" s="7" t="s">
        <v>1983</v>
      </c>
      <c r="K586" s="17">
        <v>1324</v>
      </c>
      <c r="L586" t="str">
        <f ca="1">+IF(TODAY()-ICETEX[[#This Row],[fecha_ultimo_movimiento]]&gt;360,"Inactivo","Activo")</f>
        <v>Inactivo</v>
      </c>
      <c r="M586" s="24">
        <f>+VLOOKUP(ICETEX[[#This Row],[fecha_ultimo_movimiento]],UVR!A:B,2,0)</f>
        <v>287.77789999999999</v>
      </c>
      <c r="N586" s="24">
        <v>413</v>
      </c>
      <c r="O586" t="s">
        <v>3264</v>
      </c>
    </row>
    <row r="587" spans="1:15" ht="15" thickBot="1">
      <c r="A587" s="6">
        <v>586</v>
      </c>
      <c r="B587" s="1" t="s">
        <v>1984</v>
      </c>
      <c r="C587" s="1" t="s">
        <v>1985</v>
      </c>
      <c r="D587" s="2">
        <v>254075454</v>
      </c>
      <c r="E587" s="1" t="s">
        <v>45</v>
      </c>
      <c r="F587" s="25">
        <v>86295.77</v>
      </c>
      <c r="G587" s="4">
        <v>44191</v>
      </c>
      <c r="H587" s="4">
        <v>43429</v>
      </c>
      <c r="I587" s="1" t="s">
        <v>1659</v>
      </c>
      <c r="J587" s="7" t="s">
        <v>1986</v>
      </c>
      <c r="K587" s="17">
        <v>1646</v>
      </c>
      <c r="L587" t="str">
        <f ca="1">+IF(TODAY()-ICETEX[[#This Row],[fecha_ultimo_movimiento]]&gt;360,"Inactivo","Activo")</f>
        <v>Inactivo</v>
      </c>
      <c r="M587" s="24">
        <f>+VLOOKUP(ICETEX[[#This Row],[fecha_ultimo_movimiento]],UVR!A:B,2,0)</f>
        <v>275.12920000000003</v>
      </c>
      <c r="N587" s="24">
        <v>314</v>
      </c>
      <c r="O587" t="s">
        <v>3265</v>
      </c>
    </row>
    <row r="588" spans="1:15" ht="15" thickBot="1">
      <c r="A588" s="6">
        <v>587</v>
      </c>
      <c r="B588" s="1" t="s">
        <v>1987</v>
      </c>
      <c r="C588" s="1" t="s">
        <v>1988</v>
      </c>
      <c r="D588" s="2">
        <v>111901580</v>
      </c>
      <c r="E588" s="1" t="s">
        <v>12</v>
      </c>
      <c r="F588" s="25">
        <v>32985.9</v>
      </c>
      <c r="G588" s="4">
        <v>45080</v>
      </c>
      <c r="H588" s="4">
        <v>43109</v>
      </c>
      <c r="I588" s="1" t="s">
        <v>1989</v>
      </c>
      <c r="J588" s="7" t="s">
        <v>1990</v>
      </c>
      <c r="K588" s="17">
        <v>757</v>
      </c>
      <c r="L588" t="str">
        <f ca="1">+IF(TODAY()-ICETEX[[#This Row],[fecha_ultimo_movimiento]]&gt;360,"Inactivo","Activo")</f>
        <v>Inactivo</v>
      </c>
      <c r="M588" s="24">
        <f>+VLOOKUP(ICETEX[[#This Row],[fecha_ultimo_movimiento]],UVR!A:B,2,0)</f>
        <v>346.3689</v>
      </c>
      <c r="N588" s="24">
        <v>95</v>
      </c>
      <c r="O588" t="s">
        <v>3265</v>
      </c>
    </row>
    <row r="589" spans="1:15" ht="15" thickBot="1">
      <c r="A589" s="6">
        <v>588</v>
      </c>
      <c r="B589" s="1" t="s">
        <v>1991</v>
      </c>
      <c r="C589" s="1" t="s">
        <v>1992</v>
      </c>
      <c r="D589" s="2">
        <v>53010445</v>
      </c>
      <c r="E589" s="1" t="s">
        <v>45</v>
      </c>
      <c r="F589" s="25">
        <v>38340.53</v>
      </c>
      <c r="G589" s="4">
        <v>45254</v>
      </c>
      <c r="H589" s="4">
        <v>43301</v>
      </c>
      <c r="I589" s="1" t="s">
        <v>108</v>
      </c>
      <c r="J589" s="7" t="s">
        <v>1993</v>
      </c>
      <c r="K589" s="17">
        <v>583</v>
      </c>
      <c r="L589" t="str">
        <f ca="1">+IF(TODAY()-ICETEX[[#This Row],[fecha_ultimo_movimiento]]&gt;360,"Inactivo","Activo")</f>
        <v>Inactivo</v>
      </c>
      <c r="M589" s="24">
        <f>+VLOOKUP(ICETEX[[#This Row],[fecha_ultimo_movimiento]],UVR!A:B,2,0)</f>
        <v>356.34379999999999</v>
      </c>
      <c r="N589" s="24">
        <v>108</v>
      </c>
      <c r="O589" t="s">
        <v>3265</v>
      </c>
    </row>
    <row r="590" spans="1:15" ht="15" thickBot="1">
      <c r="A590" s="6">
        <v>589</v>
      </c>
      <c r="B590" s="1" t="s">
        <v>1994</v>
      </c>
      <c r="C590" s="1" t="s">
        <v>1995</v>
      </c>
      <c r="D590" s="2">
        <v>91301815</v>
      </c>
      <c r="E590" s="1" t="s">
        <v>12</v>
      </c>
      <c r="F590" s="25">
        <v>98914.21</v>
      </c>
      <c r="G590" s="4">
        <v>44765</v>
      </c>
      <c r="H590" s="4">
        <v>43066</v>
      </c>
      <c r="I590" s="1" t="s">
        <v>1996</v>
      </c>
      <c r="J590" s="7" t="s">
        <v>1997</v>
      </c>
      <c r="K590" s="17">
        <v>1072</v>
      </c>
      <c r="L590" t="str">
        <f ca="1">+IF(TODAY()-ICETEX[[#This Row],[fecha_ultimo_movimiento]]&gt;360,"Inactivo","Activo")</f>
        <v>Inactivo</v>
      </c>
      <c r="M590" s="24">
        <f>+VLOOKUP(ICETEX[[#This Row],[fecha_ultimo_movimiento]],UVR!A:B,2,0)</f>
        <v>310.93259999999998</v>
      </c>
      <c r="N590" s="24">
        <v>318</v>
      </c>
      <c r="O590" t="s">
        <v>3265</v>
      </c>
    </row>
    <row r="591" spans="1:15" ht="15" thickBot="1">
      <c r="A591" s="6">
        <v>590</v>
      </c>
      <c r="B591" s="1" t="s">
        <v>1998</v>
      </c>
      <c r="C591" s="1" t="s">
        <v>1999</v>
      </c>
      <c r="D591" s="2">
        <v>63015537</v>
      </c>
      <c r="E591" s="1" t="s">
        <v>12</v>
      </c>
      <c r="F591" s="25">
        <v>31914.04</v>
      </c>
      <c r="G591" s="4">
        <v>44720</v>
      </c>
      <c r="H591" s="4">
        <v>42886</v>
      </c>
      <c r="I591" s="1" t="s">
        <v>499</v>
      </c>
      <c r="J591" s="7" t="s">
        <v>2000</v>
      </c>
      <c r="K591" s="17">
        <v>1117</v>
      </c>
      <c r="L591" t="str">
        <f ca="1">+IF(TODAY()-ICETEX[[#This Row],[fecha_ultimo_movimiento]]&gt;360,"Inactivo","Activo")</f>
        <v>Inactivo</v>
      </c>
      <c r="M591" s="24">
        <f>+VLOOKUP(ICETEX[[#This Row],[fecha_ultimo_movimiento]],UVR!A:B,2,0)</f>
        <v>307.0754</v>
      </c>
      <c r="N591" s="24">
        <v>104</v>
      </c>
      <c r="O591" t="s">
        <v>3265</v>
      </c>
    </row>
    <row r="592" spans="1:15" ht="15" thickBot="1">
      <c r="A592" s="6">
        <v>591</v>
      </c>
      <c r="B592" s="1" t="s">
        <v>2001</v>
      </c>
      <c r="C592" s="1" t="s">
        <v>2002</v>
      </c>
      <c r="D592" s="2">
        <v>53112437</v>
      </c>
      <c r="E592" s="1" t="s">
        <v>45</v>
      </c>
      <c r="F592" s="25">
        <v>118199.69</v>
      </c>
      <c r="G592" s="4">
        <v>45641</v>
      </c>
      <c r="H592" s="4">
        <v>43185</v>
      </c>
      <c r="I592" s="1" t="s">
        <v>2003</v>
      </c>
      <c r="J592" s="7" t="s">
        <v>2004</v>
      </c>
      <c r="K592" s="17">
        <v>196</v>
      </c>
      <c r="L592" t="str">
        <f ca="1">+IF(TODAY()-ICETEX[[#This Row],[fecha_ultimo_movimiento]]&gt;360,"Inactivo","Activo")</f>
        <v>Activo</v>
      </c>
      <c r="M592" s="24">
        <f>+VLOOKUP(ICETEX[[#This Row],[fecha_ultimo_movimiento]],UVR!A:B,2,0)</f>
        <v>376.25229999999999</v>
      </c>
      <c r="N592" s="24">
        <v>314</v>
      </c>
      <c r="O592" t="s">
        <v>3264</v>
      </c>
    </row>
    <row r="593" spans="1:15" ht="15" thickBot="1">
      <c r="A593" s="6">
        <v>592</v>
      </c>
      <c r="B593" s="1" t="s">
        <v>2005</v>
      </c>
      <c r="C593" s="1" t="s">
        <v>2006</v>
      </c>
      <c r="D593" s="2">
        <v>91300719</v>
      </c>
      <c r="E593" s="1" t="s">
        <v>45</v>
      </c>
      <c r="F593" s="25">
        <v>92150.18</v>
      </c>
      <c r="G593" s="4">
        <v>44518</v>
      </c>
      <c r="H593" s="4">
        <v>42783</v>
      </c>
      <c r="I593" s="1" t="s">
        <v>2007</v>
      </c>
      <c r="J593" s="7" t="s">
        <v>2008</v>
      </c>
      <c r="K593" s="17">
        <v>1319</v>
      </c>
      <c r="L593" t="str">
        <f ca="1">+IF(TODAY()-ICETEX[[#This Row],[fecha_ultimo_movimiento]]&gt;360,"Inactivo","Activo")</f>
        <v>Inactivo</v>
      </c>
      <c r="M593" s="24">
        <f>+VLOOKUP(ICETEX[[#This Row],[fecha_ultimo_movimiento]],UVR!A:B,2,0)</f>
        <v>287.85120000000001</v>
      </c>
      <c r="N593" s="24">
        <v>320</v>
      </c>
      <c r="O593" t="s">
        <v>3265</v>
      </c>
    </row>
    <row r="594" spans="1:15" ht="15" thickBot="1">
      <c r="A594" s="6">
        <v>593</v>
      </c>
      <c r="B594" s="1" t="s">
        <v>2009</v>
      </c>
      <c r="C594" s="1" t="s">
        <v>2010</v>
      </c>
      <c r="D594" s="2">
        <v>21404465</v>
      </c>
      <c r="E594" s="1" t="s">
        <v>12</v>
      </c>
      <c r="F594" s="25">
        <v>132426.54999999999</v>
      </c>
      <c r="G594" s="4">
        <v>44099</v>
      </c>
      <c r="H594" s="4">
        <v>43366</v>
      </c>
      <c r="I594" s="1" t="s">
        <v>13</v>
      </c>
      <c r="J594" s="7" t="s">
        <v>2011</v>
      </c>
      <c r="K594" s="17">
        <v>1738</v>
      </c>
      <c r="L594" t="str">
        <f ca="1">+IF(TODAY()-ICETEX[[#This Row],[fecha_ultimo_movimiento]]&gt;360,"Inactivo","Activo")</f>
        <v>Inactivo</v>
      </c>
      <c r="M594" s="24">
        <f>+VLOOKUP(ICETEX[[#This Row],[fecha_ultimo_movimiento]],UVR!A:B,2,0)</f>
        <v>274.58080000000001</v>
      </c>
      <c r="N594" s="24">
        <v>482</v>
      </c>
      <c r="O594" t="s">
        <v>3264</v>
      </c>
    </row>
    <row r="595" spans="1:15" ht="15" thickBot="1">
      <c r="A595" s="6">
        <v>594</v>
      </c>
      <c r="B595" s="1" t="s">
        <v>2012</v>
      </c>
      <c r="C595" s="1" t="s">
        <v>2013</v>
      </c>
      <c r="D595" s="2">
        <v>122242704</v>
      </c>
      <c r="E595" s="1" t="s">
        <v>12</v>
      </c>
      <c r="F595" s="25">
        <v>47118.28</v>
      </c>
      <c r="G595" s="4">
        <v>44968</v>
      </c>
      <c r="H595" s="4">
        <v>43098</v>
      </c>
      <c r="I595" s="1" t="s">
        <v>2014</v>
      </c>
      <c r="J595" s="7" t="s">
        <v>2015</v>
      </c>
      <c r="K595" s="17">
        <v>869</v>
      </c>
      <c r="L595" t="str">
        <f ca="1">+IF(TODAY()-ICETEX[[#This Row],[fecha_ultimo_movimiento]]&gt;360,"Inactivo","Activo")</f>
        <v>Inactivo</v>
      </c>
      <c r="M595" s="24">
        <f>+VLOOKUP(ICETEX[[#This Row],[fecha_ultimo_movimiento]],UVR!A:B,2,0)</f>
        <v>329.16989999999998</v>
      </c>
      <c r="N595" s="24">
        <v>143</v>
      </c>
      <c r="O595" t="s">
        <v>3265</v>
      </c>
    </row>
    <row r="596" spans="1:15" ht="15" thickBot="1">
      <c r="A596" s="6">
        <v>595</v>
      </c>
      <c r="B596" s="1" t="s">
        <v>2016</v>
      </c>
      <c r="C596" s="1" t="s">
        <v>2017</v>
      </c>
      <c r="D596" s="2">
        <v>62205937</v>
      </c>
      <c r="E596" s="1" t="s">
        <v>45</v>
      </c>
      <c r="F596" s="25">
        <v>127700.68</v>
      </c>
      <c r="G596" s="4">
        <v>44072</v>
      </c>
      <c r="H596" s="4">
        <v>42504</v>
      </c>
      <c r="I596" s="1" t="s">
        <v>135</v>
      </c>
      <c r="J596" s="7" t="s">
        <v>2018</v>
      </c>
      <c r="K596" s="17">
        <v>1765</v>
      </c>
      <c r="L596" t="str">
        <f ca="1">+IF(TODAY()-ICETEX[[#This Row],[fecha_ultimo_movimiento]]&gt;360,"Inactivo","Activo")</f>
        <v>Inactivo</v>
      </c>
      <c r="M596" s="24">
        <f>+VLOOKUP(ICETEX[[#This Row],[fecha_ultimo_movimiento]],UVR!A:B,2,0)</f>
        <v>274.58999999999997</v>
      </c>
      <c r="N596" s="24">
        <v>465</v>
      </c>
      <c r="O596" t="s">
        <v>3264</v>
      </c>
    </row>
    <row r="597" spans="1:15" ht="15" thickBot="1">
      <c r="A597" s="6">
        <v>596</v>
      </c>
      <c r="B597" s="1" t="s">
        <v>2019</v>
      </c>
      <c r="C597" s="1" t="s">
        <v>2020</v>
      </c>
      <c r="D597" s="2">
        <v>91501767</v>
      </c>
      <c r="E597" s="1" t="s">
        <v>12</v>
      </c>
      <c r="F597" s="25">
        <v>75246.880000000005</v>
      </c>
      <c r="G597" s="4">
        <v>44144</v>
      </c>
      <c r="H597" s="4">
        <v>43182</v>
      </c>
      <c r="I597" s="1" t="s">
        <v>127</v>
      </c>
      <c r="J597" s="7" t="s">
        <v>2021</v>
      </c>
      <c r="K597" s="17">
        <v>1693</v>
      </c>
      <c r="L597" t="str">
        <f ca="1">+IF(TODAY()-ICETEX[[#This Row],[fecha_ultimo_movimiento]]&gt;360,"Inactivo","Activo")</f>
        <v>Inactivo</v>
      </c>
      <c r="M597" s="24">
        <f>+VLOOKUP(ICETEX[[#This Row],[fecha_ultimo_movimiento]],UVR!A:B,2,0)</f>
        <v>275.27080000000001</v>
      </c>
      <c r="N597" s="24">
        <v>273</v>
      </c>
      <c r="O597" t="s">
        <v>3265</v>
      </c>
    </row>
    <row r="598" spans="1:15" ht="15" thickBot="1">
      <c r="A598" s="6">
        <v>597</v>
      </c>
      <c r="B598" s="1" t="s">
        <v>2022</v>
      </c>
      <c r="C598" s="1" t="s">
        <v>2023</v>
      </c>
      <c r="D598" s="2">
        <v>71922227</v>
      </c>
      <c r="E598" s="1" t="s">
        <v>12</v>
      </c>
      <c r="F598" s="25">
        <v>119487.77</v>
      </c>
      <c r="G598" s="4">
        <v>44177</v>
      </c>
      <c r="H598" s="4">
        <v>43392</v>
      </c>
      <c r="I598" s="1" t="s">
        <v>127</v>
      </c>
      <c r="J598" s="7" t="s">
        <v>2024</v>
      </c>
      <c r="K598" s="17">
        <v>1660</v>
      </c>
      <c r="L598" t="str">
        <f ca="1">+IF(TODAY()-ICETEX[[#This Row],[fecha_ultimo_movimiento]]&gt;360,"Inactivo","Activo")</f>
        <v>Inactivo</v>
      </c>
      <c r="M598" s="24">
        <f>+VLOOKUP(ICETEX[[#This Row],[fecha_ultimo_movimiento]],UVR!A:B,2,0)</f>
        <v>275.29239999999999</v>
      </c>
      <c r="N598" s="24">
        <v>434</v>
      </c>
      <c r="O598" t="s">
        <v>3264</v>
      </c>
    </row>
    <row r="599" spans="1:15" ht="15" thickBot="1">
      <c r="A599" s="6">
        <v>598</v>
      </c>
      <c r="B599" s="1" t="s">
        <v>2025</v>
      </c>
      <c r="C599" s="1" t="s">
        <v>2026</v>
      </c>
      <c r="D599" s="2">
        <v>75906061</v>
      </c>
      <c r="E599" s="1" t="s">
        <v>12</v>
      </c>
      <c r="F599" s="25">
        <v>181534.56</v>
      </c>
      <c r="G599" s="4">
        <v>44422</v>
      </c>
      <c r="H599" s="4">
        <v>43331</v>
      </c>
      <c r="I599" s="1" t="s">
        <v>127</v>
      </c>
      <c r="J599" s="7" t="s">
        <v>2027</v>
      </c>
      <c r="K599" s="17">
        <v>1415</v>
      </c>
      <c r="L599" t="str">
        <f ca="1">+IF(TODAY()-ICETEX[[#This Row],[fecha_ultimo_movimiento]]&gt;360,"Inactivo","Activo")</f>
        <v>Inactivo</v>
      </c>
      <c r="M599" s="24">
        <f>+VLOOKUP(ICETEX[[#This Row],[fecha_ultimo_movimiento]],UVR!A:B,2,0)</f>
        <v>284.56799999999998</v>
      </c>
      <c r="N599" s="24">
        <v>638</v>
      </c>
      <c r="O599" t="s">
        <v>3264</v>
      </c>
    </row>
    <row r="600" spans="1:15" ht="15" thickBot="1">
      <c r="A600" s="6">
        <v>599</v>
      </c>
      <c r="B600" s="1" t="s">
        <v>2028</v>
      </c>
      <c r="C600" s="1" t="s">
        <v>2029</v>
      </c>
      <c r="D600" s="2">
        <v>63106006</v>
      </c>
      <c r="E600" s="1" t="s">
        <v>45</v>
      </c>
      <c r="F600" s="25">
        <v>58408.33</v>
      </c>
      <c r="G600" s="4">
        <v>44553</v>
      </c>
      <c r="H600" s="4">
        <v>43091</v>
      </c>
      <c r="I600" s="1" t="s">
        <v>13</v>
      </c>
      <c r="J600" s="7" t="s">
        <v>2030</v>
      </c>
      <c r="K600" s="17">
        <v>1284</v>
      </c>
      <c r="L600" t="str">
        <f ca="1">+IF(TODAY()-ICETEX[[#This Row],[fecha_ultimo_movimiento]]&gt;360,"Inactivo","Activo")</f>
        <v>Inactivo</v>
      </c>
      <c r="M600" s="24">
        <f>+VLOOKUP(ICETEX[[#This Row],[fecha_ultimo_movimiento]],UVR!A:B,2,0)</f>
        <v>288.24790000000002</v>
      </c>
      <c r="N600" s="24">
        <v>203</v>
      </c>
      <c r="O600" t="s">
        <v>3265</v>
      </c>
    </row>
    <row r="601" spans="1:15" ht="15" thickBot="1">
      <c r="A601" s="6">
        <v>600</v>
      </c>
      <c r="B601" s="1" t="s">
        <v>2031</v>
      </c>
      <c r="C601" s="1" t="s">
        <v>2032</v>
      </c>
      <c r="D601" s="2">
        <v>72410013</v>
      </c>
      <c r="E601" s="1" t="s">
        <v>45</v>
      </c>
      <c r="F601" s="25">
        <v>55789.06</v>
      </c>
      <c r="G601" s="4">
        <v>44906</v>
      </c>
      <c r="H601" s="4">
        <v>42572</v>
      </c>
      <c r="I601" s="1" t="s">
        <v>270</v>
      </c>
      <c r="J601" s="7" t="s">
        <v>2033</v>
      </c>
      <c r="K601" s="17">
        <v>931</v>
      </c>
      <c r="L601" t="str">
        <f ca="1">+IF(TODAY()-ICETEX[[#This Row],[fecha_ultimo_movimiento]]&gt;360,"Inactivo","Activo")</f>
        <v>Inactivo</v>
      </c>
      <c r="M601" s="24">
        <f>+VLOOKUP(ICETEX[[#This Row],[fecha_ultimo_movimiento]],UVR!A:B,2,0)</f>
        <v>322.80259999999998</v>
      </c>
      <c r="N601" s="24">
        <v>173</v>
      </c>
      <c r="O601" t="s">
        <v>3265</v>
      </c>
    </row>
    <row r="602" spans="1:15" ht="26.5" thickBot="1">
      <c r="A602" s="6">
        <v>601</v>
      </c>
      <c r="B602" s="1" t="s">
        <v>2034</v>
      </c>
      <c r="C602" s="1" t="s">
        <v>2035</v>
      </c>
      <c r="D602" s="2">
        <v>22309239</v>
      </c>
      <c r="E602" s="1" t="s">
        <v>12</v>
      </c>
      <c r="F602" s="25">
        <v>174499.88</v>
      </c>
      <c r="G602" s="4">
        <v>44683</v>
      </c>
      <c r="H602" s="4">
        <v>42592</v>
      </c>
      <c r="I602" s="1" t="s">
        <v>357</v>
      </c>
      <c r="J602" s="7" t="s">
        <v>2036</v>
      </c>
      <c r="K602" s="17">
        <v>1154</v>
      </c>
      <c r="L602" t="str">
        <f ca="1">+IF(TODAY()-ICETEX[[#This Row],[fecha_ultimo_movimiento]]&gt;360,"Inactivo","Activo")</f>
        <v>Inactivo</v>
      </c>
      <c r="M602" s="24">
        <f>+VLOOKUP(ICETEX[[#This Row],[fecha_ultimo_movimiento]],UVR!A:B,2,0)</f>
        <v>302.82769999999999</v>
      </c>
      <c r="N602" s="24">
        <v>576</v>
      </c>
      <c r="O602" t="s">
        <v>3264</v>
      </c>
    </row>
    <row r="603" spans="1:15" ht="15" thickBot="1">
      <c r="A603" s="6">
        <v>602</v>
      </c>
      <c r="B603" s="1" t="s">
        <v>2037</v>
      </c>
      <c r="C603" s="1" t="s">
        <v>2038</v>
      </c>
      <c r="D603" s="2">
        <v>84304243</v>
      </c>
      <c r="E603" s="1" t="s">
        <v>12</v>
      </c>
      <c r="F603" s="25">
        <v>52532.38</v>
      </c>
      <c r="G603" s="4">
        <v>44912</v>
      </c>
      <c r="H603" s="4">
        <v>42804</v>
      </c>
      <c r="I603" s="1" t="s">
        <v>1351</v>
      </c>
      <c r="J603" s="7" t="s">
        <v>2039</v>
      </c>
      <c r="K603" s="17">
        <v>925</v>
      </c>
      <c r="L603" t="str">
        <f ca="1">+IF(TODAY()-ICETEX[[#This Row],[fecha_ultimo_movimiento]]&gt;360,"Inactivo","Activo")</f>
        <v>Inactivo</v>
      </c>
      <c r="M603" s="24">
        <f>+VLOOKUP(ICETEX[[#This Row],[fecha_ultimo_movimiento]],UVR!A:B,2,0)</f>
        <v>323.2715</v>
      </c>
      <c r="N603" s="24">
        <v>163</v>
      </c>
      <c r="O603" t="s">
        <v>3265</v>
      </c>
    </row>
    <row r="604" spans="1:15" ht="15" thickBot="1">
      <c r="A604" s="6">
        <v>603</v>
      </c>
      <c r="B604" s="1" t="s">
        <v>1397</v>
      </c>
      <c r="C604" s="1" t="s">
        <v>2040</v>
      </c>
      <c r="D604" s="2">
        <v>125103882</v>
      </c>
      <c r="E604" s="1" t="s">
        <v>12</v>
      </c>
      <c r="F604" s="25">
        <v>179596.23</v>
      </c>
      <c r="G604" s="4">
        <v>43969</v>
      </c>
      <c r="H604" s="4">
        <v>43024</v>
      </c>
      <c r="I604" s="1" t="s">
        <v>2041</v>
      </c>
      <c r="J604" s="7" t="s">
        <v>2042</v>
      </c>
      <c r="K604" s="17">
        <v>1868</v>
      </c>
      <c r="L604" t="str">
        <f ca="1">+IF(TODAY()-ICETEX[[#This Row],[fecha_ultimo_movimiento]]&gt;360,"Inactivo","Activo")</f>
        <v>Inactivo</v>
      </c>
      <c r="M604" s="24">
        <f>+VLOOKUP(ICETEX[[#This Row],[fecha_ultimo_movimiento]],UVR!A:B,2,0)</f>
        <v>276.12329999999997</v>
      </c>
      <c r="N604" s="24">
        <v>650</v>
      </c>
      <c r="O604" t="s">
        <v>3264</v>
      </c>
    </row>
    <row r="605" spans="1:15" ht="15" thickBot="1">
      <c r="A605" s="6">
        <v>604</v>
      </c>
      <c r="B605" s="1" t="s">
        <v>2043</v>
      </c>
      <c r="C605" s="1" t="s">
        <v>2044</v>
      </c>
      <c r="D605" s="2">
        <v>91400525</v>
      </c>
      <c r="E605" s="1" t="s">
        <v>12</v>
      </c>
      <c r="F605" s="25">
        <v>213403.94</v>
      </c>
      <c r="G605" s="4">
        <v>45147</v>
      </c>
      <c r="H605" s="4">
        <v>42565</v>
      </c>
      <c r="I605" s="1" t="s">
        <v>2045</v>
      </c>
      <c r="J605" s="7" t="s">
        <v>2046</v>
      </c>
      <c r="K605" s="17">
        <v>690</v>
      </c>
      <c r="L605" t="str">
        <f ca="1">+IF(TODAY()-ICETEX[[#This Row],[fecha_ultimo_movimiento]]&gt;360,"Inactivo","Activo")</f>
        <v>Inactivo</v>
      </c>
      <c r="M605" s="24">
        <f>+VLOOKUP(ICETEX[[#This Row],[fecha_ultimo_movimiento]],UVR!A:B,2,0)</f>
        <v>349.75</v>
      </c>
      <c r="N605" s="24">
        <v>610</v>
      </c>
      <c r="O605" t="s">
        <v>3264</v>
      </c>
    </row>
    <row r="606" spans="1:15" ht="15" thickBot="1">
      <c r="A606" s="6">
        <v>605</v>
      </c>
      <c r="B606" s="1" t="s">
        <v>2047</v>
      </c>
      <c r="C606" s="1" t="s">
        <v>2048</v>
      </c>
      <c r="D606" s="2">
        <v>42204932</v>
      </c>
      <c r="E606" s="1" t="s">
        <v>45</v>
      </c>
      <c r="F606" s="25">
        <v>65883.350000000006</v>
      </c>
      <c r="G606" s="4">
        <v>45030</v>
      </c>
      <c r="H606" s="4">
        <v>42460</v>
      </c>
      <c r="I606" s="1" t="s">
        <v>1555</v>
      </c>
      <c r="J606" s="7" t="s">
        <v>1458</v>
      </c>
      <c r="K606" s="17">
        <v>807</v>
      </c>
      <c r="L606" t="str">
        <f ca="1">+IF(TODAY()-ICETEX[[#This Row],[fecha_ultimo_movimiento]]&gt;360,"Inactivo","Activo")</f>
        <v>Inactivo</v>
      </c>
      <c r="M606" s="24">
        <f>+VLOOKUP(ICETEX[[#This Row],[fecha_ultimo_movimiento]],UVR!A:B,2,0)</f>
        <v>340.96019999999999</v>
      </c>
      <c r="N606" s="24">
        <v>193</v>
      </c>
      <c r="O606" t="s">
        <v>3265</v>
      </c>
    </row>
    <row r="607" spans="1:15" ht="15" thickBot="1">
      <c r="A607" s="6">
        <v>606</v>
      </c>
      <c r="B607" s="1" t="s">
        <v>540</v>
      </c>
      <c r="C607" s="1" t="s">
        <v>2049</v>
      </c>
      <c r="D607" s="2">
        <v>72413654</v>
      </c>
      <c r="E607" s="1" t="s">
        <v>45</v>
      </c>
      <c r="F607" s="25">
        <v>122771.7</v>
      </c>
      <c r="G607" s="4">
        <v>45307</v>
      </c>
      <c r="H607" s="4">
        <v>42431</v>
      </c>
      <c r="I607" s="1" t="s">
        <v>270</v>
      </c>
      <c r="J607" s="7" t="s">
        <v>2050</v>
      </c>
      <c r="K607" s="17">
        <v>530</v>
      </c>
      <c r="L607" t="str">
        <f ca="1">+IF(TODAY()-ICETEX[[#This Row],[fecha_ultimo_movimiento]]&gt;360,"Inactivo","Activo")</f>
        <v>Inactivo</v>
      </c>
      <c r="M607" s="24">
        <f>+VLOOKUP(ICETEX[[#This Row],[fecha_ultimo_movimiento]],UVR!A:B,2,0)</f>
        <v>358.6968</v>
      </c>
      <c r="N607" s="24">
        <v>342</v>
      </c>
      <c r="O607" t="s">
        <v>3264</v>
      </c>
    </row>
    <row r="608" spans="1:15" ht="15" thickBot="1">
      <c r="A608" s="6">
        <v>607</v>
      </c>
      <c r="B608" s="1" t="s">
        <v>2051</v>
      </c>
      <c r="C608" s="1" t="s">
        <v>2052</v>
      </c>
      <c r="D608" s="2">
        <v>322280485</v>
      </c>
      <c r="E608" s="1" t="s">
        <v>45</v>
      </c>
      <c r="F608" s="25">
        <v>208631.5</v>
      </c>
      <c r="G608" s="4">
        <v>45537</v>
      </c>
      <c r="H608" s="4">
        <v>43138</v>
      </c>
      <c r="I608" s="1" t="s">
        <v>2053</v>
      </c>
      <c r="J608" s="7" t="s">
        <v>2054</v>
      </c>
      <c r="K608" s="17">
        <v>300</v>
      </c>
      <c r="L608" t="str">
        <f ca="1">+IF(TODAY()-ICETEX[[#This Row],[fecha_ultimo_movimiento]]&gt;360,"Inactivo","Activo")</f>
        <v>Activo</v>
      </c>
      <c r="M608" s="24">
        <f>+VLOOKUP(ICETEX[[#This Row],[fecha_ultimo_movimiento]],UVR!A:B,2,0)</f>
        <v>375.52530000000002</v>
      </c>
      <c r="N608" s="24">
        <v>556</v>
      </c>
      <c r="O608" t="s">
        <v>3264</v>
      </c>
    </row>
    <row r="609" spans="1:15" ht="15" thickBot="1">
      <c r="A609" s="6">
        <v>608</v>
      </c>
      <c r="B609" s="1" t="s">
        <v>2055</v>
      </c>
      <c r="C609" s="1" t="s">
        <v>2056</v>
      </c>
      <c r="D609" s="2">
        <v>322270356</v>
      </c>
      <c r="E609" s="1" t="s">
        <v>12</v>
      </c>
      <c r="F609" s="25">
        <v>33424.92</v>
      </c>
      <c r="G609" s="4">
        <v>44843</v>
      </c>
      <c r="H609" s="4">
        <v>43104</v>
      </c>
      <c r="I609" s="1" t="s">
        <v>419</v>
      </c>
      <c r="J609" s="7" t="s">
        <v>2057</v>
      </c>
      <c r="K609" s="17">
        <v>994</v>
      </c>
      <c r="L609" t="str">
        <f ca="1">+IF(TODAY()-ICETEX[[#This Row],[fecha_ultimo_movimiento]]&gt;360,"Inactivo","Activo")</f>
        <v>Inactivo</v>
      </c>
      <c r="M609" s="24">
        <f>+VLOOKUP(ICETEX[[#This Row],[fecha_ultimo_movimiento]],UVR!A:B,2,0)</f>
        <v>317.2013</v>
      </c>
      <c r="N609" s="24">
        <v>105</v>
      </c>
      <c r="O609" t="s">
        <v>3265</v>
      </c>
    </row>
    <row r="610" spans="1:15" ht="15" thickBot="1">
      <c r="A610" s="6">
        <v>609</v>
      </c>
      <c r="B610" s="1" t="s">
        <v>2058</v>
      </c>
      <c r="C610" s="1" t="s">
        <v>2059</v>
      </c>
      <c r="D610" s="2">
        <v>275071408</v>
      </c>
      <c r="E610" s="1" t="s">
        <v>12</v>
      </c>
      <c r="F610" s="25">
        <v>137125.60999999999</v>
      </c>
      <c r="G610" s="4">
        <v>45537</v>
      </c>
      <c r="H610" s="4">
        <v>42444</v>
      </c>
      <c r="I610" s="1" t="s">
        <v>538</v>
      </c>
      <c r="J610" s="8" t="s">
        <v>2060</v>
      </c>
      <c r="K610" s="17">
        <v>300</v>
      </c>
      <c r="L610" t="str">
        <f ca="1">+IF(TODAY()-ICETEX[[#This Row],[fecha_ultimo_movimiento]]&gt;360,"Inactivo","Activo")</f>
        <v>Activo</v>
      </c>
      <c r="M610" s="24">
        <f>+VLOOKUP(ICETEX[[#This Row],[fecha_ultimo_movimiento]],UVR!A:B,2,0)</f>
        <v>375.52530000000002</v>
      </c>
      <c r="N610" s="24">
        <v>365</v>
      </c>
      <c r="O610" t="s">
        <v>3264</v>
      </c>
    </row>
    <row r="611" spans="1:15" ht="15" thickBot="1">
      <c r="A611" s="6">
        <v>610</v>
      </c>
      <c r="B611" s="1" t="s">
        <v>2061</v>
      </c>
      <c r="C611" s="1" t="s">
        <v>2062</v>
      </c>
      <c r="D611" s="2">
        <v>64103833</v>
      </c>
      <c r="E611" s="1" t="s">
        <v>45</v>
      </c>
      <c r="F611" s="25">
        <v>183002.98</v>
      </c>
      <c r="G611" s="4">
        <v>43899</v>
      </c>
      <c r="H611" s="4">
        <v>42727</v>
      </c>
      <c r="I611" s="1" t="s">
        <v>131</v>
      </c>
      <c r="J611" s="7" t="s">
        <v>2063</v>
      </c>
      <c r="K611" s="17">
        <v>1938</v>
      </c>
      <c r="L611" t="str">
        <f ca="1">+IF(TODAY()-ICETEX[[#This Row],[fecha_ultimo_movimiento]]&gt;360,"Inactivo","Activo")</f>
        <v>Inactivo</v>
      </c>
      <c r="M611" s="24">
        <f>+VLOOKUP(ICETEX[[#This Row],[fecha_ultimo_movimiento]],UVR!A:B,2,0)</f>
        <v>272.45249999999999</v>
      </c>
      <c r="N611" s="24">
        <v>672</v>
      </c>
      <c r="O611" t="s">
        <v>3264</v>
      </c>
    </row>
    <row r="612" spans="1:15" ht="15" thickBot="1">
      <c r="A612" s="6">
        <v>611</v>
      </c>
      <c r="B612" s="1" t="s">
        <v>2064</v>
      </c>
      <c r="C612" s="1" t="s">
        <v>2065</v>
      </c>
      <c r="D612" s="2">
        <v>86518723</v>
      </c>
      <c r="E612" s="1" t="s">
        <v>45</v>
      </c>
      <c r="F612" s="25">
        <v>124767.92</v>
      </c>
      <c r="G612" s="4">
        <v>44714</v>
      </c>
      <c r="H612" s="4">
        <v>42407</v>
      </c>
      <c r="I612" s="1" t="s">
        <v>1351</v>
      </c>
      <c r="J612" s="7" t="s">
        <v>2066</v>
      </c>
      <c r="K612" s="17">
        <v>1123</v>
      </c>
      <c r="L612" t="str">
        <f ca="1">+IF(TODAY()-ICETEX[[#This Row],[fecha_ultimo_movimiento]]&gt;360,"Inactivo","Activo")</f>
        <v>Inactivo</v>
      </c>
      <c r="M612" s="24">
        <f>+VLOOKUP(ICETEX[[#This Row],[fecha_ultimo_movimiento]],UVR!A:B,2,0)</f>
        <v>306.33800000000002</v>
      </c>
      <c r="N612" s="24">
        <v>407</v>
      </c>
      <c r="O612" t="s">
        <v>3264</v>
      </c>
    </row>
    <row r="613" spans="1:15" ht="15" thickBot="1">
      <c r="A613" s="6">
        <v>612</v>
      </c>
      <c r="B613" s="1" t="s">
        <v>2067</v>
      </c>
      <c r="C613" s="1" t="s">
        <v>2068</v>
      </c>
      <c r="D613" s="2">
        <v>123006389</v>
      </c>
      <c r="E613" s="1" t="s">
        <v>45</v>
      </c>
      <c r="F613" s="25">
        <v>12593.07</v>
      </c>
      <c r="G613" s="4">
        <v>44281</v>
      </c>
      <c r="H613" s="4">
        <v>42461</v>
      </c>
      <c r="I613" s="1" t="s">
        <v>1035</v>
      </c>
      <c r="J613" s="7" t="s">
        <v>2069</v>
      </c>
      <c r="K613" s="17">
        <v>1556</v>
      </c>
      <c r="L613" t="str">
        <f ca="1">+IF(TODAY()-ICETEX[[#This Row],[fecha_ultimo_movimiento]]&gt;360,"Inactivo","Activo")</f>
        <v>Inactivo</v>
      </c>
      <c r="M613" s="24">
        <f>+VLOOKUP(ICETEX[[#This Row],[fecha_ultimo_movimiento]],UVR!A:B,2,0)</f>
        <v>277.66649999999998</v>
      </c>
      <c r="N613" s="24">
        <v>45</v>
      </c>
      <c r="O613" t="s">
        <v>3265</v>
      </c>
    </row>
    <row r="614" spans="1:15" ht="15" thickBot="1">
      <c r="A614" s="6">
        <v>613</v>
      </c>
      <c r="B614" s="1" t="s">
        <v>2070</v>
      </c>
      <c r="C614" s="1" t="s">
        <v>2071</v>
      </c>
      <c r="D614" s="2">
        <v>284272780</v>
      </c>
      <c r="E614" s="1" t="s">
        <v>12</v>
      </c>
      <c r="F614" s="25">
        <v>193798.16</v>
      </c>
      <c r="G614" s="4">
        <v>43996</v>
      </c>
      <c r="H614" s="4">
        <v>43078</v>
      </c>
      <c r="I614" s="1" t="s">
        <v>135</v>
      </c>
      <c r="J614" s="7" t="s">
        <v>2072</v>
      </c>
      <c r="K614" s="17">
        <v>1841</v>
      </c>
      <c r="L614" t="str">
        <f ca="1">+IF(TODAY()-ICETEX[[#This Row],[fecha_ultimo_movimiento]]&gt;360,"Inactivo","Activo")</f>
        <v>Inactivo</v>
      </c>
      <c r="M614" s="24">
        <f>+VLOOKUP(ICETEX[[#This Row],[fecha_ultimo_movimiento]],UVR!A:B,2,0)</f>
        <v>276.50810000000001</v>
      </c>
      <c r="N614" s="24">
        <v>701</v>
      </c>
      <c r="O614" t="s">
        <v>3264</v>
      </c>
    </row>
    <row r="615" spans="1:15" ht="15" thickBot="1">
      <c r="A615" s="6">
        <v>614</v>
      </c>
      <c r="B615" s="1" t="s">
        <v>1787</v>
      </c>
      <c r="C615" s="1" t="s">
        <v>2073</v>
      </c>
      <c r="D615" s="2">
        <v>75908218</v>
      </c>
      <c r="E615" s="1" t="s">
        <v>45</v>
      </c>
      <c r="F615" s="25">
        <v>111070.21</v>
      </c>
      <c r="G615" s="4">
        <v>45602</v>
      </c>
      <c r="H615" s="4">
        <v>42498</v>
      </c>
      <c r="I615" s="1" t="s">
        <v>127</v>
      </c>
      <c r="J615" s="7" t="s">
        <v>2074</v>
      </c>
      <c r="K615" s="17">
        <v>235</v>
      </c>
      <c r="L615" t="str">
        <f ca="1">+IF(TODAY()-ICETEX[[#This Row],[fecha_ultimo_movimiento]]&gt;360,"Inactivo","Activo")</f>
        <v>Activo</v>
      </c>
      <c r="M615" s="24">
        <f>+VLOOKUP(ICETEX[[#This Row],[fecha_ultimo_movimiento]],UVR!A:B,2,0)</f>
        <v>376.48</v>
      </c>
      <c r="N615" s="24">
        <v>295</v>
      </c>
      <c r="O615" t="s">
        <v>3264</v>
      </c>
    </row>
    <row r="616" spans="1:15" ht="15" thickBot="1">
      <c r="A616" s="6">
        <v>615</v>
      </c>
      <c r="B616" s="1" t="s">
        <v>2075</v>
      </c>
      <c r="C616" s="1" t="s">
        <v>2076</v>
      </c>
      <c r="D616" s="2">
        <v>55002480</v>
      </c>
      <c r="E616" s="1" t="s">
        <v>45</v>
      </c>
      <c r="F616" s="25">
        <v>107734.53</v>
      </c>
      <c r="G616" s="4">
        <v>44505</v>
      </c>
      <c r="H616" s="4">
        <v>42676</v>
      </c>
      <c r="I616" s="1" t="s">
        <v>88</v>
      </c>
      <c r="J616" s="7" t="s">
        <v>2077</v>
      </c>
      <c r="K616" s="17">
        <v>1332</v>
      </c>
      <c r="L616" t="str">
        <f ca="1">+IF(TODAY()-ICETEX[[#This Row],[fecha_ultimo_movimiento]]&gt;360,"Inactivo","Activo")</f>
        <v>Inactivo</v>
      </c>
      <c r="M616" s="24">
        <f>+VLOOKUP(ICETEX[[#This Row],[fecha_ultimo_movimiento]],UVR!A:B,2,0)</f>
        <v>287.49630000000002</v>
      </c>
      <c r="N616" s="24">
        <v>375</v>
      </c>
      <c r="O616" t="s">
        <v>3264</v>
      </c>
    </row>
    <row r="617" spans="1:15" ht="15" thickBot="1">
      <c r="A617" s="6">
        <v>616</v>
      </c>
      <c r="B617" s="1" t="s">
        <v>2078</v>
      </c>
      <c r="C617" s="1" t="s">
        <v>2079</v>
      </c>
      <c r="D617" s="2">
        <v>111312739</v>
      </c>
      <c r="E617" s="1" t="s">
        <v>12</v>
      </c>
      <c r="F617" s="25">
        <v>197650.93</v>
      </c>
      <c r="G617" s="4">
        <v>45687</v>
      </c>
      <c r="H617" s="4">
        <v>43384</v>
      </c>
      <c r="I617" s="1" t="s">
        <v>155</v>
      </c>
      <c r="J617" s="7" t="s">
        <v>2080</v>
      </c>
      <c r="K617" s="17">
        <v>150</v>
      </c>
      <c r="L617" t="str">
        <f ca="1">+IF(TODAY()-ICETEX[[#This Row],[fecha_ultimo_movimiento]]&gt;360,"Inactivo","Activo")</f>
        <v>Activo</v>
      </c>
      <c r="M617" s="24">
        <f>+VLOOKUP(ICETEX[[#This Row],[fecha_ultimo_movimiento]],UVR!A:B,2,0)</f>
        <v>378.1069</v>
      </c>
      <c r="N617" s="24">
        <v>523</v>
      </c>
      <c r="O617" t="s">
        <v>3264</v>
      </c>
    </row>
    <row r="618" spans="1:15" ht="15" thickBot="1">
      <c r="A618" s="6">
        <v>617</v>
      </c>
      <c r="B618" s="1" t="s">
        <v>2081</v>
      </c>
      <c r="C618" s="1" t="s">
        <v>2082</v>
      </c>
      <c r="D618" s="2">
        <v>71006282</v>
      </c>
      <c r="E618" s="1" t="s">
        <v>12</v>
      </c>
      <c r="F618" s="25">
        <v>124264.28</v>
      </c>
      <c r="G618" s="4">
        <v>45669</v>
      </c>
      <c r="H618" s="4">
        <v>42399</v>
      </c>
      <c r="I618" s="1" t="s">
        <v>947</v>
      </c>
      <c r="J618" s="7" t="s">
        <v>2083</v>
      </c>
      <c r="K618" s="17">
        <v>168</v>
      </c>
      <c r="L618" t="str">
        <f ca="1">+IF(TODAY()-ICETEX[[#This Row],[fecha_ultimo_movimiento]]&gt;360,"Inactivo","Activo")</f>
        <v>Activo</v>
      </c>
      <c r="M618" s="24">
        <f>+VLOOKUP(ICETEX[[#This Row],[fecha_ultimo_movimiento]],UVR!A:B,2,0)</f>
        <v>377.16980000000001</v>
      </c>
      <c r="N618" s="24">
        <v>329</v>
      </c>
      <c r="O618" t="s">
        <v>3264</v>
      </c>
    </row>
    <row r="619" spans="1:15" ht="15" thickBot="1">
      <c r="A619" s="6">
        <v>618</v>
      </c>
      <c r="B619" s="1" t="s">
        <v>2084</v>
      </c>
      <c r="C619" s="1" t="s">
        <v>2085</v>
      </c>
      <c r="D619" s="2">
        <v>111921230</v>
      </c>
      <c r="E619" s="1" t="s">
        <v>45</v>
      </c>
      <c r="F619" s="25">
        <v>120449.3</v>
      </c>
      <c r="G619" s="4">
        <v>43974</v>
      </c>
      <c r="H619" s="4">
        <v>42903</v>
      </c>
      <c r="I619" s="1" t="s">
        <v>2086</v>
      </c>
      <c r="J619" s="7" t="s">
        <v>2087</v>
      </c>
      <c r="K619" s="17">
        <v>1863</v>
      </c>
      <c r="L619" t="str">
        <f ca="1">+IF(TODAY()-ICETEX[[#This Row],[fecha_ultimo_movimiento]]&gt;360,"Inactivo","Activo")</f>
        <v>Inactivo</v>
      </c>
      <c r="M619" s="24">
        <f>+VLOOKUP(ICETEX[[#This Row],[fecha_ultimo_movimiento]],UVR!A:B,2,0)</f>
        <v>276.19450000000001</v>
      </c>
      <c r="N619" s="24">
        <v>436</v>
      </c>
      <c r="O619" t="s">
        <v>3264</v>
      </c>
    </row>
    <row r="620" spans="1:15" ht="15" thickBot="1">
      <c r="A620" s="6">
        <v>619</v>
      </c>
      <c r="B620" s="1" t="s">
        <v>2088</v>
      </c>
      <c r="C620" s="1" t="s">
        <v>2089</v>
      </c>
      <c r="D620" s="2">
        <v>325070760</v>
      </c>
      <c r="E620" s="1" t="s">
        <v>12</v>
      </c>
      <c r="F620" s="25">
        <v>111447.65</v>
      </c>
      <c r="G620" s="4">
        <v>44942</v>
      </c>
      <c r="H620" s="4">
        <v>42880</v>
      </c>
      <c r="I620" s="1" t="s">
        <v>383</v>
      </c>
      <c r="J620" s="7" t="s">
        <v>2090</v>
      </c>
      <c r="K620" s="17">
        <v>895</v>
      </c>
      <c r="L620" t="str">
        <f ca="1">+IF(TODAY()-ICETEX[[#This Row],[fecha_ultimo_movimiento]]&gt;360,"Inactivo","Activo")</f>
        <v>Inactivo</v>
      </c>
      <c r="M620" s="24">
        <f>+VLOOKUP(ICETEX[[#This Row],[fecha_ultimo_movimiento]],UVR!A:B,2,0)</f>
        <v>325.73110000000003</v>
      </c>
      <c r="N620" s="24">
        <v>342</v>
      </c>
      <c r="O620" t="s">
        <v>3264</v>
      </c>
    </row>
    <row r="621" spans="1:15" ht="15" thickBot="1">
      <c r="A621" s="6">
        <v>620</v>
      </c>
      <c r="B621" s="1" t="s">
        <v>2091</v>
      </c>
      <c r="C621" s="1" t="s">
        <v>2092</v>
      </c>
      <c r="D621" s="2">
        <v>211174136</v>
      </c>
      <c r="E621" s="1" t="s">
        <v>45</v>
      </c>
      <c r="F621" s="25">
        <v>195066.45</v>
      </c>
      <c r="G621" s="4">
        <v>44441</v>
      </c>
      <c r="H621" s="4">
        <v>42499</v>
      </c>
      <c r="I621" s="1" t="s">
        <v>415</v>
      </c>
      <c r="J621" s="7" t="s">
        <v>2093</v>
      </c>
      <c r="K621" s="17">
        <v>1396</v>
      </c>
      <c r="L621" t="str">
        <f ca="1">+IF(TODAY()-ICETEX[[#This Row],[fecha_ultimo_movimiento]]&gt;360,"Inactivo","Activo")</f>
        <v>Inactivo</v>
      </c>
      <c r="M621" s="24">
        <f>+VLOOKUP(ICETEX[[#This Row],[fecha_ultimo_movimiento]],UVR!A:B,2,0)</f>
        <v>285.09179999999998</v>
      </c>
      <c r="N621" s="24">
        <v>684</v>
      </c>
      <c r="O621" t="s">
        <v>3264</v>
      </c>
    </row>
    <row r="622" spans="1:15" ht="15" thickBot="1">
      <c r="A622" s="6">
        <v>621</v>
      </c>
      <c r="B622" s="1" t="s">
        <v>524</v>
      </c>
      <c r="C622" s="1" t="s">
        <v>2094</v>
      </c>
      <c r="D622" s="2">
        <v>122242034</v>
      </c>
      <c r="E622" s="1" t="s">
        <v>12</v>
      </c>
      <c r="F622" s="25">
        <v>131129.26999999999</v>
      </c>
      <c r="G622" s="4">
        <v>44944</v>
      </c>
      <c r="H622" s="4">
        <v>43198</v>
      </c>
      <c r="I622" s="1" t="s">
        <v>475</v>
      </c>
      <c r="J622" s="7" t="s">
        <v>2095</v>
      </c>
      <c r="K622" s="17">
        <v>893</v>
      </c>
      <c r="L622" t="str">
        <f ca="1">+IF(TODAY()-ICETEX[[#This Row],[fecha_ultimo_movimiento]]&gt;360,"Inactivo","Activo")</f>
        <v>Inactivo</v>
      </c>
      <c r="M622" s="24">
        <f>+VLOOKUP(ICETEX[[#This Row],[fecha_ultimo_movimiento]],UVR!A:B,2,0)</f>
        <v>325.99439999999998</v>
      </c>
      <c r="N622" s="24">
        <v>402</v>
      </c>
      <c r="O622" t="s">
        <v>3264</v>
      </c>
    </row>
    <row r="623" spans="1:15" ht="15" thickBot="1">
      <c r="A623" s="6">
        <v>622</v>
      </c>
      <c r="B623" s="1" t="s">
        <v>2096</v>
      </c>
      <c r="C623" s="1" t="s">
        <v>2097</v>
      </c>
      <c r="D623" s="2">
        <v>81511754</v>
      </c>
      <c r="E623" s="1" t="s">
        <v>45</v>
      </c>
      <c r="F623" s="25">
        <v>179659.83</v>
      </c>
      <c r="G623" s="4">
        <v>43977</v>
      </c>
      <c r="H623" s="4">
        <v>43243</v>
      </c>
      <c r="I623" s="1" t="s">
        <v>2098</v>
      </c>
      <c r="J623" s="7" t="s">
        <v>2099</v>
      </c>
      <c r="K623" s="17">
        <v>1860</v>
      </c>
      <c r="L623" t="str">
        <f ca="1">+IF(TODAY()-ICETEX[[#This Row],[fecha_ultimo_movimiento]]&gt;360,"Inactivo","Activo")</f>
        <v>Inactivo</v>
      </c>
      <c r="M623" s="24">
        <f>+VLOOKUP(ICETEX[[#This Row],[fecha_ultimo_movimiento]],UVR!A:B,2,0)</f>
        <v>276.2373</v>
      </c>
      <c r="N623" s="24">
        <v>650</v>
      </c>
      <c r="O623" t="s">
        <v>3264</v>
      </c>
    </row>
    <row r="624" spans="1:15" ht="15" thickBot="1">
      <c r="A624" s="6">
        <v>623</v>
      </c>
      <c r="B624" s="1" t="s">
        <v>2100</v>
      </c>
      <c r="C624" s="1" t="s">
        <v>2101</v>
      </c>
      <c r="D624" s="2">
        <v>11303110</v>
      </c>
      <c r="E624" s="1" t="s">
        <v>12</v>
      </c>
      <c r="F624" s="25">
        <v>67176.97</v>
      </c>
      <c r="G624" s="4">
        <v>43996</v>
      </c>
      <c r="H624" s="4">
        <v>43023</v>
      </c>
      <c r="I624" s="1" t="s">
        <v>702</v>
      </c>
      <c r="J624" s="7" t="s">
        <v>2102</v>
      </c>
      <c r="K624" s="17">
        <v>1841</v>
      </c>
      <c r="L624" t="str">
        <f ca="1">+IF(TODAY()-ICETEX[[#This Row],[fecha_ultimo_movimiento]]&gt;360,"Inactivo","Activo")</f>
        <v>Inactivo</v>
      </c>
      <c r="M624" s="24">
        <f>+VLOOKUP(ICETEX[[#This Row],[fecha_ultimo_movimiento]],UVR!A:B,2,0)</f>
        <v>276.50810000000001</v>
      </c>
      <c r="N624" s="24">
        <v>243</v>
      </c>
      <c r="O624" t="s">
        <v>3265</v>
      </c>
    </row>
    <row r="625" spans="1:15" ht="15" thickBot="1">
      <c r="A625" s="6">
        <v>624</v>
      </c>
      <c r="B625" s="1" t="s">
        <v>2103</v>
      </c>
      <c r="C625" s="1" t="s">
        <v>2104</v>
      </c>
      <c r="D625" s="2">
        <v>124300806</v>
      </c>
      <c r="E625" s="1" t="s">
        <v>45</v>
      </c>
      <c r="F625" s="25">
        <v>156950.71</v>
      </c>
      <c r="G625" s="4">
        <v>45742</v>
      </c>
      <c r="H625" s="4">
        <v>42374</v>
      </c>
      <c r="I625" s="1" t="s">
        <v>2105</v>
      </c>
      <c r="J625" s="7" t="s">
        <v>2106</v>
      </c>
      <c r="K625" s="17">
        <v>95</v>
      </c>
      <c r="L625" t="str">
        <f ca="1">+IF(TODAY()-ICETEX[[#This Row],[fecha_ultimo_movimiento]]&gt;360,"Inactivo","Activo")</f>
        <v>Activo</v>
      </c>
      <c r="M625" s="24">
        <f>+VLOOKUP(ICETEX[[#This Row],[fecha_ultimo_movimiento]],UVR!A:B,2,0)</f>
        <v>384.10809999999998</v>
      </c>
      <c r="N625" s="24">
        <v>409</v>
      </c>
      <c r="O625" t="s">
        <v>3264</v>
      </c>
    </row>
    <row r="626" spans="1:15" ht="15" thickBot="1">
      <c r="A626" s="6">
        <v>625</v>
      </c>
      <c r="B626" s="1" t="s">
        <v>2107</v>
      </c>
      <c r="C626" s="1" t="s">
        <v>2108</v>
      </c>
      <c r="D626" s="2">
        <v>31302638</v>
      </c>
      <c r="E626" s="1" t="s">
        <v>12</v>
      </c>
      <c r="F626" s="25">
        <v>159291.82</v>
      </c>
      <c r="G626" s="4">
        <v>45284</v>
      </c>
      <c r="H626" s="4">
        <v>42840</v>
      </c>
      <c r="I626" s="1" t="s">
        <v>88</v>
      </c>
      <c r="J626" s="7" t="s">
        <v>2109</v>
      </c>
      <c r="K626" s="17">
        <v>553</v>
      </c>
      <c r="L626" t="str">
        <f ca="1">+IF(TODAY()-ICETEX[[#This Row],[fecha_ultimo_movimiento]]&gt;360,"Inactivo","Activo")</f>
        <v>Inactivo</v>
      </c>
      <c r="M626" s="24">
        <f>+VLOOKUP(ICETEX[[#This Row],[fecha_ultimo_movimiento]],UVR!A:B,2,0)</f>
        <v>357.45350000000002</v>
      </c>
      <c r="N626" s="24">
        <v>446</v>
      </c>
      <c r="O626" t="s">
        <v>3264</v>
      </c>
    </row>
    <row r="627" spans="1:15" ht="15" thickBot="1">
      <c r="A627" s="6">
        <v>626</v>
      </c>
      <c r="B627" s="1" t="s">
        <v>1962</v>
      </c>
      <c r="C627" s="1" t="s">
        <v>2110</v>
      </c>
      <c r="D627" s="2">
        <v>91904267</v>
      </c>
      <c r="E627" s="1" t="s">
        <v>12</v>
      </c>
      <c r="F627" s="25">
        <v>106924.89</v>
      </c>
      <c r="G627" s="4">
        <v>43942</v>
      </c>
      <c r="H627" s="4">
        <v>42807</v>
      </c>
      <c r="I627" s="1" t="s">
        <v>1213</v>
      </c>
      <c r="J627" s="7" t="s">
        <v>2111</v>
      </c>
      <c r="K627" s="17">
        <v>1895</v>
      </c>
      <c r="L627" t="str">
        <f ca="1">+IF(TODAY()-ICETEX[[#This Row],[fecha_ultimo_movimiento]]&gt;360,"Inactivo","Activo")</f>
        <v>Inactivo</v>
      </c>
      <c r="M627" s="24">
        <f>+VLOOKUP(ICETEX[[#This Row],[fecha_ultimo_movimiento]],UVR!A:B,2,0)</f>
        <v>274.82810000000001</v>
      </c>
      <c r="N627" s="24">
        <v>389</v>
      </c>
      <c r="O627" t="s">
        <v>3264</v>
      </c>
    </row>
    <row r="628" spans="1:15" ht="15" thickBot="1">
      <c r="A628" s="6">
        <v>627</v>
      </c>
      <c r="B628" s="1" t="s">
        <v>2112</v>
      </c>
      <c r="C628" s="1" t="s">
        <v>2113</v>
      </c>
      <c r="D628" s="2">
        <v>64102397</v>
      </c>
      <c r="E628" s="1" t="s">
        <v>12</v>
      </c>
      <c r="F628" s="25">
        <v>33452.870000000003</v>
      </c>
      <c r="G628" s="4">
        <v>44369</v>
      </c>
      <c r="H628" s="4">
        <v>43047</v>
      </c>
      <c r="I628" s="1" t="s">
        <v>25</v>
      </c>
      <c r="J628" s="7" t="s">
        <v>2114</v>
      </c>
      <c r="K628" s="17">
        <v>1468</v>
      </c>
      <c r="L628" t="str">
        <f ca="1">+IF(TODAY()-ICETEX[[#This Row],[fecha_ultimo_movimiento]]&gt;360,"Inactivo","Activo")</f>
        <v>Inactivo</v>
      </c>
      <c r="M628" s="24">
        <f>+VLOOKUP(ICETEX[[#This Row],[fecha_ultimo_movimiento]],UVR!A:B,2,0)</f>
        <v>282.5421</v>
      </c>
      <c r="N628" s="24">
        <v>118</v>
      </c>
      <c r="O628" t="s">
        <v>3265</v>
      </c>
    </row>
    <row r="629" spans="1:15" ht="15" thickBot="1">
      <c r="A629" s="6">
        <v>628</v>
      </c>
      <c r="B629" s="1" t="s">
        <v>2115</v>
      </c>
      <c r="C629" s="1" t="s">
        <v>2116</v>
      </c>
      <c r="D629" s="2">
        <v>111924787</v>
      </c>
      <c r="E629" s="1" t="s">
        <v>45</v>
      </c>
      <c r="F629" s="25">
        <v>27953.81</v>
      </c>
      <c r="G629" s="4">
        <v>44126</v>
      </c>
      <c r="H629" s="4">
        <v>42929</v>
      </c>
      <c r="I629" s="1" t="s">
        <v>2117</v>
      </c>
      <c r="J629" s="7" t="s">
        <v>2118</v>
      </c>
      <c r="K629" s="17">
        <v>1711</v>
      </c>
      <c r="L629" t="str">
        <f ca="1">+IF(TODAY()-ICETEX[[#This Row],[fecha_ultimo_movimiento]]&gt;360,"Inactivo","Activo")</f>
        <v>Inactivo</v>
      </c>
      <c r="M629" s="24">
        <f>+VLOOKUP(ICETEX[[#This Row],[fecha_ultimo_movimiento]],UVR!A:B,2,0)</f>
        <v>274.76060000000001</v>
      </c>
      <c r="N629" s="24">
        <v>102</v>
      </c>
      <c r="O629" t="s">
        <v>3265</v>
      </c>
    </row>
    <row r="630" spans="1:15" ht="15" thickBot="1">
      <c r="A630" s="6">
        <v>629</v>
      </c>
      <c r="B630" s="1" t="s">
        <v>2119</v>
      </c>
      <c r="C630" s="1" t="s">
        <v>2120</v>
      </c>
      <c r="D630" s="2">
        <v>51400361</v>
      </c>
      <c r="E630" s="1" t="s">
        <v>45</v>
      </c>
      <c r="F630" s="25">
        <v>176185.17</v>
      </c>
      <c r="G630" s="4">
        <v>45591</v>
      </c>
      <c r="H630" s="4">
        <v>43247</v>
      </c>
      <c r="I630" s="1" t="s">
        <v>13</v>
      </c>
      <c r="J630" s="7" t="s">
        <v>2121</v>
      </c>
      <c r="K630" s="17">
        <v>246</v>
      </c>
      <c r="L630" t="str">
        <f ca="1">+IF(TODAY()-ICETEX[[#This Row],[fecha_ultimo_movimiento]]&gt;360,"Inactivo","Activo")</f>
        <v>Activo</v>
      </c>
      <c r="M630" s="24">
        <f>+VLOOKUP(ICETEX[[#This Row],[fecha_ultimo_movimiento]],UVR!A:B,2,0)</f>
        <v>376.15989999999999</v>
      </c>
      <c r="N630" s="24">
        <v>468</v>
      </c>
      <c r="O630" t="s">
        <v>3264</v>
      </c>
    </row>
    <row r="631" spans="1:15" ht="15" thickBot="1">
      <c r="A631" s="6">
        <v>630</v>
      </c>
      <c r="B631" s="1" t="s">
        <v>1387</v>
      </c>
      <c r="C631" s="1" t="s">
        <v>2122</v>
      </c>
      <c r="D631" s="2">
        <v>111924392</v>
      </c>
      <c r="E631" s="1" t="s">
        <v>12</v>
      </c>
      <c r="F631" s="25">
        <v>171641.99</v>
      </c>
      <c r="G631" s="4">
        <v>43935</v>
      </c>
      <c r="H631" s="4">
        <v>43428</v>
      </c>
      <c r="I631" s="1" t="s">
        <v>2123</v>
      </c>
      <c r="J631" s="7" t="s">
        <v>2124</v>
      </c>
      <c r="K631" s="17">
        <v>1902</v>
      </c>
      <c r="L631" t="str">
        <f ca="1">+IF(TODAY()-ICETEX[[#This Row],[fecha_ultimo_movimiento]]&gt;360,"Inactivo","Activo")</f>
        <v>Inactivo</v>
      </c>
      <c r="M631" s="24">
        <f>+VLOOKUP(ICETEX[[#This Row],[fecha_ultimo_movimiento]],UVR!A:B,2,0)</f>
        <v>274.45679999999999</v>
      </c>
      <c r="N631" s="24">
        <v>625</v>
      </c>
      <c r="O631" t="s">
        <v>3264</v>
      </c>
    </row>
    <row r="632" spans="1:15" ht="15" thickBot="1">
      <c r="A632" s="6">
        <v>631</v>
      </c>
      <c r="B632" s="1" t="s">
        <v>2125</v>
      </c>
      <c r="C632" s="1" t="s">
        <v>2126</v>
      </c>
      <c r="D632" s="2">
        <v>83901650</v>
      </c>
      <c r="E632" s="1" t="s">
        <v>45</v>
      </c>
      <c r="F632" s="25">
        <v>62125.09</v>
      </c>
      <c r="G632" s="4">
        <v>44649</v>
      </c>
      <c r="H632" s="4">
        <v>42552</v>
      </c>
      <c r="I632" s="1" t="s">
        <v>621</v>
      </c>
      <c r="J632" s="7" t="s">
        <v>2127</v>
      </c>
      <c r="K632" s="17">
        <v>1188</v>
      </c>
      <c r="L632" t="str">
        <f ca="1">+IF(TODAY()-ICETEX[[#This Row],[fecha_ultimo_movimiento]]&gt;360,"Inactivo","Activo")</f>
        <v>Inactivo</v>
      </c>
      <c r="M632" s="24">
        <f>+VLOOKUP(ICETEX[[#This Row],[fecha_ultimo_movimiento]],UVR!A:B,2,0)</f>
        <v>298.46679999999998</v>
      </c>
      <c r="N632" s="24">
        <v>208</v>
      </c>
      <c r="O632" t="s">
        <v>3265</v>
      </c>
    </row>
    <row r="633" spans="1:15" ht="15" thickBot="1">
      <c r="A633" s="6">
        <v>632</v>
      </c>
      <c r="B633" s="1" t="s">
        <v>2128</v>
      </c>
      <c r="C633" s="1" t="s">
        <v>2129</v>
      </c>
      <c r="D633" s="2">
        <v>114902683</v>
      </c>
      <c r="E633" s="1" t="s">
        <v>12</v>
      </c>
      <c r="F633" s="25">
        <v>205766.19</v>
      </c>
      <c r="G633" s="4">
        <v>45174</v>
      </c>
      <c r="H633" s="4">
        <v>43102</v>
      </c>
      <c r="I633" s="1" t="s">
        <v>475</v>
      </c>
      <c r="J633" s="7" t="s">
        <v>2130</v>
      </c>
      <c r="K633" s="17">
        <v>663</v>
      </c>
      <c r="L633" t="str">
        <f ca="1">+IF(TODAY()-ICETEX[[#This Row],[fecha_ultimo_movimiento]]&gt;360,"Inactivo","Activo")</f>
        <v>Inactivo</v>
      </c>
      <c r="M633" s="24">
        <f>+VLOOKUP(ICETEX[[#This Row],[fecha_ultimo_movimiento]],UVR!A:B,2,0)</f>
        <v>351.13720000000001</v>
      </c>
      <c r="N633" s="24">
        <v>586</v>
      </c>
      <c r="O633" t="s">
        <v>3264</v>
      </c>
    </row>
    <row r="634" spans="1:15" ht="26.5" thickBot="1">
      <c r="A634" s="6">
        <v>633</v>
      </c>
      <c r="B634" s="1" t="s">
        <v>2131</v>
      </c>
      <c r="C634" s="1" t="s">
        <v>2132</v>
      </c>
      <c r="D634" s="2">
        <v>122105728</v>
      </c>
      <c r="E634" s="1" t="s">
        <v>12</v>
      </c>
      <c r="F634" s="25">
        <v>198155.19</v>
      </c>
      <c r="G634" s="4">
        <v>44266</v>
      </c>
      <c r="H634" s="4">
        <v>42547</v>
      </c>
      <c r="I634" s="1" t="s">
        <v>1600</v>
      </c>
      <c r="J634" s="7" t="s">
        <v>2133</v>
      </c>
      <c r="K634" s="17">
        <v>1571</v>
      </c>
      <c r="L634" t="str">
        <f ca="1">+IF(TODAY()-ICETEX[[#This Row],[fecha_ultimo_movimiento]]&gt;360,"Inactivo","Activo")</f>
        <v>Inactivo</v>
      </c>
      <c r="M634" s="24">
        <f>+VLOOKUP(ICETEX[[#This Row],[fecha_ultimo_movimiento]],UVR!A:B,2,0)</f>
        <v>276.87670000000003</v>
      </c>
      <c r="N634" s="24">
        <v>716</v>
      </c>
      <c r="O634" t="s">
        <v>3264</v>
      </c>
    </row>
    <row r="635" spans="1:15" ht="15" thickBot="1">
      <c r="A635" s="6">
        <v>634</v>
      </c>
      <c r="B635" s="1" t="s">
        <v>2134</v>
      </c>
      <c r="C635" s="1" t="s">
        <v>2135</v>
      </c>
      <c r="D635" s="2">
        <v>107003418</v>
      </c>
      <c r="E635" s="1" t="s">
        <v>12</v>
      </c>
      <c r="F635" s="25">
        <v>191146.41</v>
      </c>
      <c r="G635" s="4">
        <v>44862</v>
      </c>
      <c r="H635" s="4">
        <v>42605</v>
      </c>
      <c r="I635" s="1" t="s">
        <v>2136</v>
      </c>
      <c r="J635" s="7" t="s">
        <v>2137</v>
      </c>
      <c r="K635" s="17">
        <v>975</v>
      </c>
      <c r="L635" t="str">
        <f ca="1">+IF(TODAY()-ICETEX[[#This Row],[fecha_ultimo_movimiento]]&gt;360,"Inactivo","Activo")</f>
        <v>Inactivo</v>
      </c>
      <c r="M635" s="24">
        <f>+VLOOKUP(ICETEX[[#This Row],[fecha_ultimo_movimiento]],UVR!A:B,2,0)</f>
        <v>319.08210000000003</v>
      </c>
      <c r="N635" s="24">
        <v>599</v>
      </c>
      <c r="O635" t="s">
        <v>3264</v>
      </c>
    </row>
    <row r="636" spans="1:15" ht="15" thickBot="1">
      <c r="A636" s="6">
        <v>635</v>
      </c>
      <c r="B636" s="1" t="s">
        <v>2138</v>
      </c>
      <c r="C636" s="1" t="s">
        <v>2139</v>
      </c>
      <c r="D636" s="2">
        <v>221371246</v>
      </c>
      <c r="E636" s="1" t="s">
        <v>45</v>
      </c>
      <c r="F636" s="25">
        <v>196874.14</v>
      </c>
      <c r="G636" s="4">
        <v>45032</v>
      </c>
      <c r="H636" s="4">
        <v>42948</v>
      </c>
      <c r="I636" s="1" t="s">
        <v>13</v>
      </c>
      <c r="J636" s="7" t="s">
        <v>2140</v>
      </c>
      <c r="K636" s="17">
        <v>805</v>
      </c>
      <c r="L636" t="str">
        <f ca="1">+IF(TODAY()-ICETEX[[#This Row],[fecha_ultimo_movimiento]]&gt;360,"Inactivo","Activo")</f>
        <v>Inactivo</v>
      </c>
      <c r="M636" s="24">
        <f>+VLOOKUP(ICETEX[[#This Row],[fecha_ultimo_movimiento]],UVR!A:B,2,0)</f>
        <v>341.2602</v>
      </c>
      <c r="N636" s="24">
        <v>577</v>
      </c>
      <c r="O636" t="s">
        <v>3264</v>
      </c>
    </row>
    <row r="637" spans="1:15" ht="15" thickBot="1">
      <c r="A637" s="6">
        <v>636</v>
      </c>
      <c r="B637" s="1" t="s">
        <v>2141</v>
      </c>
      <c r="C637" s="1" t="s">
        <v>2142</v>
      </c>
      <c r="D637" s="2">
        <v>113122655</v>
      </c>
      <c r="E637" s="1" t="s">
        <v>12</v>
      </c>
      <c r="F637" s="25">
        <v>22119</v>
      </c>
      <c r="G637" s="4">
        <v>44384</v>
      </c>
      <c r="H637" s="4">
        <v>42843</v>
      </c>
      <c r="I637" s="1" t="s">
        <v>534</v>
      </c>
      <c r="J637" s="7" t="s">
        <v>2143</v>
      </c>
      <c r="K637" s="17">
        <v>1453</v>
      </c>
      <c r="L637" t="str">
        <f ca="1">+IF(TODAY()-ICETEX[[#This Row],[fecha_ultimo_movimiento]]&gt;360,"Inactivo","Activo")</f>
        <v>Inactivo</v>
      </c>
      <c r="M637" s="24">
        <f>+VLOOKUP(ICETEX[[#This Row],[fecha_ultimo_movimiento]],UVR!A:B,2,0)</f>
        <v>283.9513</v>
      </c>
      <c r="N637" s="24">
        <v>78</v>
      </c>
      <c r="O637" t="s">
        <v>3265</v>
      </c>
    </row>
    <row r="638" spans="1:15" ht="15" thickBot="1">
      <c r="A638" s="6">
        <v>637</v>
      </c>
      <c r="B638" s="1" t="s">
        <v>2144</v>
      </c>
      <c r="C638" s="1" t="s">
        <v>2145</v>
      </c>
      <c r="D638" s="2">
        <v>43305092</v>
      </c>
      <c r="E638" s="1" t="s">
        <v>45</v>
      </c>
      <c r="F638" s="25">
        <v>88810.3</v>
      </c>
      <c r="G638" s="4">
        <v>44783</v>
      </c>
      <c r="H638" s="4">
        <v>42987</v>
      </c>
      <c r="I638" s="1" t="s">
        <v>2146</v>
      </c>
      <c r="J638" s="8" t="s">
        <v>2147</v>
      </c>
      <c r="K638" s="17">
        <v>1054</v>
      </c>
      <c r="L638" t="str">
        <f ca="1">+IF(TODAY()-ICETEX[[#This Row],[fecha_ultimo_movimiento]]&gt;360,"Inactivo","Activo")</f>
        <v>Inactivo</v>
      </c>
      <c r="M638" s="24">
        <f>+VLOOKUP(ICETEX[[#This Row],[fecha_ultimo_movimiento]],UVR!A:B,2,0)</f>
        <v>311.85239999999999</v>
      </c>
      <c r="N638" s="24">
        <v>285</v>
      </c>
      <c r="O638" t="s">
        <v>3265</v>
      </c>
    </row>
    <row r="639" spans="1:15" ht="15" thickBot="1">
      <c r="A639" s="6">
        <v>638</v>
      </c>
      <c r="B639" s="1" t="s">
        <v>2148</v>
      </c>
      <c r="C639" s="1" t="s">
        <v>2149</v>
      </c>
      <c r="D639" s="2">
        <v>101102496</v>
      </c>
      <c r="E639" s="1" t="s">
        <v>12</v>
      </c>
      <c r="F639" s="25">
        <v>69844.44</v>
      </c>
      <c r="G639" s="4">
        <v>45373</v>
      </c>
      <c r="H639" s="4">
        <v>42934</v>
      </c>
      <c r="I639" s="1" t="s">
        <v>2150</v>
      </c>
      <c r="J639" s="7" t="s">
        <v>2151</v>
      </c>
      <c r="K639" s="17">
        <v>464</v>
      </c>
      <c r="L639" t="str">
        <f ca="1">+IF(TODAY()-ICETEX[[#This Row],[fecha_ultimo_movimiento]]&gt;360,"Inactivo","Activo")</f>
        <v>Inactivo</v>
      </c>
      <c r="M639" s="24">
        <f>+VLOOKUP(ICETEX[[#This Row],[fecha_ultimo_movimiento]],UVR!A:B,2,0)</f>
        <v>364.46429999999998</v>
      </c>
      <c r="N639" s="24">
        <v>192</v>
      </c>
      <c r="O639" t="s">
        <v>3265</v>
      </c>
    </row>
    <row r="640" spans="1:15" ht="15" thickBot="1">
      <c r="A640" s="6">
        <v>639</v>
      </c>
      <c r="B640" s="1" t="s">
        <v>2152</v>
      </c>
      <c r="C640" s="1" t="s">
        <v>2153</v>
      </c>
      <c r="D640" s="2">
        <v>84302122</v>
      </c>
      <c r="E640" s="1" t="s">
        <v>12</v>
      </c>
      <c r="F640" s="25">
        <v>111017.05</v>
      </c>
      <c r="G640" s="4">
        <v>45207</v>
      </c>
      <c r="H640" s="4">
        <v>42749</v>
      </c>
      <c r="I640" s="1" t="s">
        <v>1148</v>
      </c>
      <c r="J640" s="7" t="s">
        <v>2154</v>
      </c>
      <c r="K640" s="17">
        <v>630</v>
      </c>
      <c r="L640" t="str">
        <f ca="1">+IF(TODAY()-ICETEX[[#This Row],[fecha_ultimo_movimiento]]&gt;360,"Inactivo","Activo")</f>
        <v>Inactivo</v>
      </c>
      <c r="M640" s="24">
        <f>+VLOOKUP(ICETEX[[#This Row],[fecha_ultimo_movimiento]],UVR!A:B,2,0)</f>
        <v>353.58850000000001</v>
      </c>
      <c r="N640" s="24">
        <v>314</v>
      </c>
      <c r="O640" t="s">
        <v>3265</v>
      </c>
    </row>
    <row r="641" spans="1:15" ht="15" thickBot="1">
      <c r="A641" s="6">
        <v>640</v>
      </c>
      <c r="B641" s="1" t="s">
        <v>2155</v>
      </c>
      <c r="C641" s="1" t="s">
        <v>2156</v>
      </c>
      <c r="D641" s="2">
        <v>91204763</v>
      </c>
      <c r="E641" s="1" t="s">
        <v>45</v>
      </c>
      <c r="F641" s="25">
        <v>65265.94</v>
      </c>
      <c r="G641" s="4">
        <v>45043</v>
      </c>
      <c r="H641" s="4">
        <v>43149</v>
      </c>
      <c r="I641" s="1" t="s">
        <v>2157</v>
      </c>
      <c r="J641" s="7" t="s">
        <v>2158</v>
      </c>
      <c r="K641" s="17">
        <v>794</v>
      </c>
      <c r="L641" t="str">
        <f ca="1">+IF(TODAY()-ICETEX[[#This Row],[fecha_ultimo_movimiento]]&gt;360,"Inactivo","Activo")</f>
        <v>Inactivo</v>
      </c>
      <c r="M641" s="24">
        <f>+VLOOKUP(ICETEX[[#This Row],[fecha_ultimo_movimiento]],UVR!A:B,2,0)</f>
        <v>342.56970000000001</v>
      </c>
      <c r="N641" s="24">
        <v>191</v>
      </c>
      <c r="O641" t="s">
        <v>3265</v>
      </c>
    </row>
    <row r="642" spans="1:15" ht="15" thickBot="1">
      <c r="A642" s="6">
        <v>641</v>
      </c>
      <c r="B642" s="1" t="s">
        <v>2159</v>
      </c>
      <c r="C642" s="1" t="s">
        <v>2160</v>
      </c>
      <c r="D642" s="2">
        <v>267091250</v>
      </c>
      <c r="E642" s="1" t="s">
        <v>45</v>
      </c>
      <c r="F642" s="25">
        <v>213551.09</v>
      </c>
      <c r="G642" s="4">
        <v>45466</v>
      </c>
      <c r="H642" s="4">
        <v>43261</v>
      </c>
      <c r="I642" s="1" t="s">
        <v>780</v>
      </c>
      <c r="J642" s="7" t="s">
        <v>1993</v>
      </c>
      <c r="K642" s="17">
        <v>371</v>
      </c>
      <c r="L642" t="str">
        <f ca="1">+IF(TODAY()-ICETEX[[#This Row],[fecha_ultimo_movimiento]]&gt;360,"Inactivo","Activo")</f>
        <v>Inactivo</v>
      </c>
      <c r="M642" s="24">
        <f>+VLOOKUP(ICETEX[[#This Row],[fecha_ultimo_movimiento]],UVR!A:B,2,0)</f>
        <v>372.71870000000001</v>
      </c>
      <c r="N642" s="24">
        <v>573</v>
      </c>
      <c r="O642" t="s">
        <v>3264</v>
      </c>
    </row>
    <row r="643" spans="1:15" ht="15" thickBot="1">
      <c r="A643" s="6">
        <v>642</v>
      </c>
      <c r="B643" s="1" t="s">
        <v>2161</v>
      </c>
      <c r="C643" s="1" t="s">
        <v>2162</v>
      </c>
      <c r="D643" s="2">
        <v>123200088</v>
      </c>
      <c r="E643" s="1" t="s">
        <v>45</v>
      </c>
      <c r="F643" s="25">
        <v>114642.21</v>
      </c>
      <c r="G643" s="4">
        <v>45435</v>
      </c>
      <c r="H643" s="4">
        <v>42827</v>
      </c>
      <c r="I643" s="1" t="s">
        <v>54</v>
      </c>
      <c r="J643" s="7" t="s">
        <v>2163</v>
      </c>
      <c r="K643" s="17">
        <v>402</v>
      </c>
      <c r="L643" t="str">
        <f ca="1">+IF(TODAY()-ICETEX[[#This Row],[fecha_ultimo_movimiento]]&gt;360,"Inactivo","Activo")</f>
        <v>Inactivo</v>
      </c>
      <c r="M643" s="24">
        <f>+VLOOKUP(ICETEX[[#This Row],[fecha_ultimo_movimiento]],UVR!A:B,2,0)</f>
        <v>370.6712</v>
      </c>
      <c r="N643" s="24">
        <v>309</v>
      </c>
      <c r="O643" t="s">
        <v>3265</v>
      </c>
    </row>
    <row r="644" spans="1:15" ht="15" thickBot="1">
      <c r="A644" s="6">
        <v>643</v>
      </c>
      <c r="B644" s="1" t="s">
        <v>2164</v>
      </c>
      <c r="C644" s="1" t="s">
        <v>2165</v>
      </c>
      <c r="D644" s="2">
        <v>221471094</v>
      </c>
      <c r="E644" s="1" t="s">
        <v>45</v>
      </c>
      <c r="F644" s="25">
        <v>194670.67</v>
      </c>
      <c r="G644" s="4">
        <v>44080</v>
      </c>
      <c r="H644" s="4">
        <v>42708</v>
      </c>
      <c r="I644" s="1" t="s">
        <v>866</v>
      </c>
      <c r="J644" s="7" t="s">
        <v>2166</v>
      </c>
      <c r="K644" s="17">
        <v>1757</v>
      </c>
      <c r="L644" t="str">
        <f ca="1">+IF(TODAY()-ICETEX[[#This Row],[fecha_ultimo_movimiento]]&gt;360,"Inactivo","Activo")</f>
        <v>Inactivo</v>
      </c>
      <c r="M644" s="24">
        <f>+VLOOKUP(ICETEX[[#This Row],[fecha_ultimo_movimiento]],UVR!A:B,2,0)</f>
        <v>274.58999999999997</v>
      </c>
      <c r="N644" s="24">
        <v>709</v>
      </c>
      <c r="O644" t="s">
        <v>3264</v>
      </c>
    </row>
    <row r="645" spans="1:15" ht="15" thickBot="1">
      <c r="A645" s="6">
        <v>644</v>
      </c>
      <c r="B645" s="1" t="s">
        <v>2167</v>
      </c>
      <c r="C645" s="1" t="s">
        <v>2168</v>
      </c>
      <c r="D645" s="2">
        <v>61204654</v>
      </c>
      <c r="E645" s="1" t="s">
        <v>45</v>
      </c>
      <c r="F645" s="25">
        <v>149463.19</v>
      </c>
      <c r="G645" s="4">
        <v>45442</v>
      </c>
      <c r="H645" s="4">
        <v>42480</v>
      </c>
      <c r="I645" s="1" t="s">
        <v>1561</v>
      </c>
      <c r="J645" s="7" t="s">
        <v>2169</v>
      </c>
      <c r="K645" s="17">
        <v>395</v>
      </c>
      <c r="L645" t="str">
        <f ca="1">+IF(TODAY()-ICETEX[[#This Row],[fecha_ultimo_movimiento]]&gt;360,"Inactivo","Activo")</f>
        <v>Inactivo</v>
      </c>
      <c r="M645" s="24">
        <f>+VLOOKUP(ICETEX[[#This Row],[fecha_ultimo_movimiento]],UVR!A:B,2,0)</f>
        <v>371.16390000000001</v>
      </c>
      <c r="N645" s="24">
        <v>403</v>
      </c>
      <c r="O645" t="s">
        <v>3264</v>
      </c>
    </row>
    <row r="646" spans="1:15" ht="15" thickBot="1">
      <c r="A646" s="6">
        <v>645</v>
      </c>
      <c r="B646" s="1" t="s">
        <v>2170</v>
      </c>
      <c r="C646" s="1" t="s">
        <v>2171</v>
      </c>
      <c r="D646" s="2">
        <v>92905168</v>
      </c>
      <c r="E646" s="1" t="s">
        <v>12</v>
      </c>
      <c r="F646" s="25">
        <v>19249.16</v>
      </c>
      <c r="G646" s="4">
        <v>45066</v>
      </c>
      <c r="H646" s="4">
        <v>42749</v>
      </c>
      <c r="I646" s="1" t="s">
        <v>217</v>
      </c>
      <c r="J646" s="7" t="s">
        <v>2172</v>
      </c>
      <c r="K646" s="17">
        <v>771</v>
      </c>
      <c r="L646" t="str">
        <f ca="1">+IF(TODAY()-ICETEX[[#This Row],[fecha_ultimo_movimiento]]&gt;360,"Inactivo","Activo")</f>
        <v>Inactivo</v>
      </c>
      <c r="M646" s="24">
        <f>+VLOOKUP(ICETEX[[#This Row],[fecha_ultimo_movimiento]],UVR!A:B,2,0)</f>
        <v>345.15570000000002</v>
      </c>
      <c r="N646" s="24">
        <v>56</v>
      </c>
      <c r="O646" t="s">
        <v>3265</v>
      </c>
    </row>
    <row r="647" spans="1:15" ht="15" thickBot="1">
      <c r="A647" s="6">
        <v>646</v>
      </c>
      <c r="B647" s="1" t="s">
        <v>1706</v>
      </c>
      <c r="C647" s="1" t="s">
        <v>2173</v>
      </c>
      <c r="D647" s="2">
        <v>114904979</v>
      </c>
      <c r="E647" s="1" t="s">
        <v>12</v>
      </c>
      <c r="F647" s="25">
        <v>198153.01</v>
      </c>
      <c r="G647" s="4">
        <v>44908</v>
      </c>
      <c r="H647" s="4">
        <v>42544</v>
      </c>
      <c r="I647" s="1" t="s">
        <v>513</v>
      </c>
      <c r="J647" s="7" t="s">
        <v>2174</v>
      </c>
      <c r="K647" s="17">
        <v>929</v>
      </c>
      <c r="L647" t="str">
        <f ca="1">+IF(TODAY()-ICETEX[[#This Row],[fecha_ultimo_movimiento]]&gt;360,"Inactivo","Activo")</f>
        <v>Inactivo</v>
      </c>
      <c r="M647" s="24">
        <f>+VLOOKUP(ICETEX[[#This Row],[fecha_ultimo_movimiento]],UVR!A:B,2,0)</f>
        <v>322.95710000000003</v>
      </c>
      <c r="N647" s="24">
        <v>614</v>
      </c>
      <c r="O647" t="s">
        <v>3264</v>
      </c>
    </row>
    <row r="648" spans="1:15" ht="15" thickBot="1">
      <c r="A648" s="6">
        <v>647</v>
      </c>
      <c r="B648" s="1" t="s">
        <v>2022</v>
      </c>
      <c r="C648" s="1" t="s">
        <v>2175</v>
      </c>
      <c r="D648" s="2">
        <v>122241941</v>
      </c>
      <c r="E648" s="1" t="s">
        <v>45</v>
      </c>
      <c r="F648" s="25">
        <v>53734.11</v>
      </c>
      <c r="G648" s="4">
        <v>44724</v>
      </c>
      <c r="H648" s="4">
        <v>42437</v>
      </c>
      <c r="I648" s="1" t="s">
        <v>475</v>
      </c>
      <c r="J648" s="7" t="s">
        <v>2176</v>
      </c>
      <c r="K648" s="17">
        <v>1113</v>
      </c>
      <c r="L648" t="str">
        <f ca="1">+IF(TODAY()-ICETEX[[#This Row],[fecha_ultimo_movimiento]]&gt;360,"Inactivo","Activo")</f>
        <v>Inactivo</v>
      </c>
      <c r="M648" s="24">
        <f>+VLOOKUP(ICETEX[[#This Row],[fecha_ultimo_movimiento]],UVR!A:B,2,0)</f>
        <v>307.56799999999998</v>
      </c>
      <c r="N648" s="24">
        <v>175</v>
      </c>
      <c r="O648" t="s">
        <v>3265</v>
      </c>
    </row>
    <row r="649" spans="1:15" ht="15" thickBot="1">
      <c r="A649" s="6">
        <v>648</v>
      </c>
      <c r="B649" s="1" t="s">
        <v>2177</v>
      </c>
      <c r="C649" s="1" t="s">
        <v>2178</v>
      </c>
      <c r="D649" s="2">
        <v>122242924</v>
      </c>
      <c r="E649" s="1" t="s">
        <v>45</v>
      </c>
      <c r="F649" s="25">
        <v>79848.77</v>
      </c>
      <c r="G649" s="4">
        <v>44674</v>
      </c>
      <c r="H649" s="4">
        <v>42626</v>
      </c>
      <c r="I649" s="1" t="s">
        <v>58</v>
      </c>
      <c r="J649" s="7" t="s">
        <v>2179</v>
      </c>
      <c r="K649" s="17">
        <v>1163</v>
      </c>
      <c r="L649" t="str">
        <f ca="1">+IF(TODAY()-ICETEX[[#This Row],[fecha_ultimo_movimiento]]&gt;360,"Inactivo","Activo")</f>
        <v>Inactivo</v>
      </c>
      <c r="M649" s="24">
        <f>+VLOOKUP(ICETEX[[#This Row],[fecha_ultimo_movimiento]],UVR!A:B,2,0)</f>
        <v>301.92509999999999</v>
      </c>
      <c r="N649" s="24">
        <v>264</v>
      </c>
      <c r="O649" t="s">
        <v>3265</v>
      </c>
    </row>
    <row r="650" spans="1:15" ht="15" thickBot="1">
      <c r="A650" s="6">
        <v>649</v>
      </c>
      <c r="B650" s="1" t="s">
        <v>2180</v>
      </c>
      <c r="C650" s="1" t="s">
        <v>2181</v>
      </c>
      <c r="D650" s="2">
        <v>111316887</v>
      </c>
      <c r="E650" s="1" t="s">
        <v>45</v>
      </c>
      <c r="F650" s="25">
        <v>205093.64</v>
      </c>
      <c r="G650" s="4">
        <v>45632</v>
      </c>
      <c r="H650" s="4">
        <v>42737</v>
      </c>
      <c r="I650" s="1" t="s">
        <v>2182</v>
      </c>
      <c r="J650" s="8" t="s">
        <v>2183</v>
      </c>
      <c r="K650" s="17">
        <v>205</v>
      </c>
      <c r="L650" t="str">
        <f ca="1">+IF(TODAY()-ICETEX[[#This Row],[fecha_ultimo_movimiento]]&gt;360,"Inactivo","Activo")</f>
        <v>Activo</v>
      </c>
      <c r="M650" s="24">
        <f>+VLOOKUP(ICETEX[[#This Row],[fecha_ultimo_movimiento]],UVR!A:B,2,0)</f>
        <v>376.39920000000001</v>
      </c>
      <c r="N650" s="24">
        <v>545</v>
      </c>
      <c r="O650" t="s">
        <v>3264</v>
      </c>
    </row>
    <row r="651" spans="1:15" ht="15" thickBot="1">
      <c r="A651" s="6">
        <v>650</v>
      </c>
      <c r="B651" s="1" t="s">
        <v>2184</v>
      </c>
      <c r="C651" s="1" t="s">
        <v>2185</v>
      </c>
      <c r="D651" s="2">
        <v>111906161</v>
      </c>
      <c r="E651" s="1" t="s">
        <v>12</v>
      </c>
      <c r="F651" s="25">
        <v>216138.31</v>
      </c>
      <c r="G651" s="4">
        <v>45002</v>
      </c>
      <c r="H651" s="4">
        <v>43054</v>
      </c>
      <c r="I651" s="1" t="s">
        <v>2186</v>
      </c>
      <c r="J651" s="7" t="s">
        <v>2187</v>
      </c>
      <c r="K651" s="17">
        <v>835</v>
      </c>
      <c r="L651" t="str">
        <f ca="1">+IF(TODAY()-ICETEX[[#This Row],[fecha_ultimo_movimiento]]&gt;360,"Inactivo","Activo")</f>
        <v>Inactivo</v>
      </c>
      <c r="M651" s="24">
        <f>+VLOOKUP(ICETEX[[#This Row],[fecha_ultimo_movimiento]],UVR!A:B,2,0)</f>
        <v>335.92750000000001</v>
      </c>
      <c r="N651" s="24">
        <v>643</v>
      </c>
      <c r="O651" t="s">
        <v>3264</v>
      </c>
    </row>
    <row r="652" spans="1:15" ht="15" thickBot="1">
      <c r="A652" s="6">
        <v>651</v>
      </c>
      <c r="B652" s="1" t="s">
        <v>2188</v>
      </c>
      <c r="C652" s="1" t="s">
        <v>2189</v>
      </c>
      <c r="D652" s="2">
        <v>31313261</v>
      </c>
      <c r="E652" s="1" t="s">
        <v>12</v>
      </c>
      <c r="F652" s="25">
        <v>54302.3</v>
      </c>
      <c r="G652" s="4">
        <v>44818</v>
      </c>
      <c r="H652" s="4">
        <v>42800</v>
      </c>
      <c r="I652" s="1" t="s">
        <v>88</v>
      </c>
      <c r="J652" s="7" t="s">
        <v>2190</v>
      </c>
      <c r="K652" s="17">
        <v>1019</v>
      </c>
      <c r="L652" t="str">
        <f ca="1">+IF(TODAY()-ICETEX[[#This Row],[fecha_ultimo_movimiento]]&gt;360,"Inactivo","Activo")</f>
        <v>Inactivo</v>
      </c>
      <c r="M652" s="24">
        <f>+VLOOKUP(ICETEX[[#This Row],[fecha_ultimo_movimiento]],UVR!A:B,2,0)</f>
        <v>314.55459999999999</v>
      </c>
      <c r="N652" s="24">
        <v>173</v>
      </c>
      <c r="O652" t="s">
        <v>3265</v>
      </c>
    </row>
    <row r="653" spans="1:15" ht="15" thickBot="1">
      <c r="A653" s="6">
        <v>652</v>
      </c>
      <c r="B653" s="1" t="s">
        <v>2191</v>
      </c>
      <c r="C653" s="1" t="s">
        <v>2192</v>
      </c>
      <c r="D653" s="2">
        <v>101101659</v>
      </c>
      <c r="E653" s="1" t="s">
        <v>45</v>
      </c>
      <c r="F653" s="25">
        <v>185280.29</v>
      </c>
      <c r="G653" s="4">
        <v>45627</v>
      </c>
      <c r="H653" s="4">
        <v>43395</v>
      </c>
      <c r="I653" s="1" t="s">
        <v>1321</v>
      </c>
      <c r="J653" s="8" t="s">
        <v>2193</v>
      </c>
      <c r="K653" s="17">
        <v>210</v>
      </c>
      <c r="L653" t="str">
        <f ca="1">+IF(TODAY()-ICETEX[[#This Row],[fecha_ultimo_movimiento]]&gt;360,"Inactivo","Activo")</f>
        <v>Activo</v>
      </c>
      <c r="M653" s="24">
        <f>+VLOOKUP(ICETEX[[#This Row],[fecha_ultimo_movimiento]],UVR!A:B,2,0)</f>
        <v>376.48079999999999</v>
      </c>
      <c r="N653" s="24">
        <v>492</v>
      </c>
      <c r="O653" t="s">
        <v>3264</v>
      </c>
    </row>
    <row r="654" spans="1:15" ht="15" thickBot="1">
      <c r="A654" s="6">
        <v>653</v>
      </c>
      <c r="B654" s="1" t="s">
        <v>2194</v>
      </c>
      <c r="C654" s="1" t="s">
        <v>2195</v>
      </c>
      <c r="D654" s="2">
        <v>21300640</v>
      </c>
      <c r="E654" s="1" t="s">
        <v>12</v>
      </c>
      <c r="F654" s="25">
        <v>51160.52</v>
      </c>
      <c r="G654" s="4">
        <v>44853</v>
      </c>
      <c r="H654" s="4">
        <v>42581</v>
      </c>
      <c r="I654" s="1" t="s">
        <v>1035</v>
      </c>
      <c r="J654" s="7" t="s">
        <v>2196</v>
      </c>
      <c r="K654" s="17">
        <v>984</v>
      </c>
      <c r="L654" t="str">
        <f ca="1">+IF(TODAY()-ICETEX[[#This Row],[fecha_ultimo_movimiento]]&gt;360,"Inactivo","Activo")</f>
        <v>Inactivo</v>
      </c>
      <c r="M654" s="24">
        <f>+VLOOKUP(ICETEX[[#This Row],[fecha_ultimo_movimiento]],UVR!A:B,2,0)</f>
        <v>318.22570000000002</v>
      </c>
      <c r="N654" s="24">
        <v>161</v>
      </c>
      <c r="O654" t="s">
        <v>3265</v>
      </c>
    </row>
    <row r="655" spans="1:15" ht="15" thickBot="1">
      <c r="A655" s="6">
        <v>654</v>
      </c>
      <c r="B655" s="1" t="s">
        <v>2197</v>
      </c>
      <c r="C655" s="1" t="s">
        <v>2198</v>
      </c>
      <c r="D655" s="2">
        <v>101000019</v>
      </c>
      <c r="E655" s="1" t="s">
        <v>45</v>
      </c>
      <c r="F655" s="25">
        <v>188051</v>
      </c>
      <c r="G655" s="4">
        <v>45666</v>
      </c>
      <c r="H655" s="4">
        <v>42585</v>
      </c>
      <c r="I655" s="1" t="s">
        <v>471</v>
      </c>
      <c r="J655" s="7" t="s">
        <v>2199</v>
      </c>
      <c r="K655" s="17">
        <v>171</v>
      </c>
      <c r="L655" t="str">
        <f ca="1">+IF(TODAY()-ICETEX[[#This Row],[fecha_ultimo_movimiento]]&gt;360,"Inactivo","Activo")</f>
        <v>Activo</v>
      </c>
      <c r="M655" s="24">
        <f>+VLOOKUP(ICETEX[[#This Row],[fecha_ultimo_movimiento]],UVR!A:B,2,0)</f>
        <v>377.07130000000001</v>
      </c>
      <c r="N655" s="24">
        <v>499</v>
      </c>
      <c r="O655" t="s">
        <v>3264</v>
      </c>
    </row>
    <row r="656" spans="1:15" ht="15" thickBot="1">
      <c r="A656" s="6">
        <v>655</v>
      </c>
      <c r="B656" s="1" t="s">
        <v>2200</v>
      </c>
      <c r="C656" s="1" t="s">
        <v>2201</v>
      </c>
      <c r="D656" s="2">
        <v>103100467</v>
      </c>
      <c r="E656" s="1" t="s">
        <v>12</v>
      </c>
      <c r="F656" s="25">
        <v>41470.33</v>
      </c>
      <c r="G656" s="4">
        <v>45224</v>
      </c>
      <c r="H656" s="4">
        <v>42944</v>
      </c>
      <c r="I656" s="1" t="s">
        <v>2202</v>
      </c>
      <c r="J656" s="7" t="s">
        <v>2203</v>
      </c>
      <c r="K656" s="17">
        <v>613</v>
      </c>
      <c r="L656" t="str">
        <f ca="1">+IF(TODAY()-ICETEX[[#This Row],[fecha_ultimo_movimiento]]&gt;360,"Inactivo","Activo")</f>
        <v>Inactivo</v>
      </c>
      <c r="M656" s="24">
        <f>+VLOOKUP(ICETEX[[#This Row],[fecha_ultimo_movimiento]],UVR!A:B,2,0)</f>
        <v>354.78030000000001</v>
      </c>
      <c r="N656" s="24">
        <v>117</v>
      </c>
      <c r="O656" t="s">
        <v>3265</v>
      </c>
    </row>
    <row r="657" spans="1:15" ht="15" thickBot="1">
      <c r="A657" s="6">
        <v>656</v>
      </c>
      <c r="B657" s="1" t="s">
        <v>2204</v>
      </c>
      <c r="C657" s="1" t="s">
        <v>2205</v>
      </c>
      <c r="D657" s="2">
        <v>44115443</v>
      </c>
      <c r="E657" s="1" t="s">
        <v>12</v>
      </c>
      <c r="F657" s="25">
        <v>103254.8</v>
      </c>
      <c r="G657" s="4">
        <v>44667</v>
      </c>
      <c r="H657" s="4">
        <v>43332</v>
      </c>
      <c r="I657" s="1" t="s">
        <v>383</v>
      </c>
      <c r="J657" s="7" t="s">
        <v>2206</v>
      </c>
      <c r="K657" s="17">
        <v>1170</v>
      </c>
      <c r="L657" t="str">
        <f ca="1">+IF(TODAY()-ICETEX[[#This Row],[fecha_ultimo_movimiento]]&gt;360,"Inactivo","Activo")</f>
        <v>Inactivo</v>
      </c>
      <c r="M657" s="24">
        <f>+VLOOKUP(ICETEX[[#This Row],[fecha_ultimo_movimiento]],UVR!A:B,2,0)</f>
        <v>301.22489999999999</v>
      </c>
      <c r="N657" s="24">
        <v>343</v>
      </c>
      <c r="O657" t="s">
        <v>3264</v>
      </c>
    </row>
    <row r="658" spans="1:15" ht="15" thickBot="1">
      <c r="A658" s="6">
        <v>657</v>
      </c>
      <c r="B658" s="1" t="s">
        <v>2207</v>
      </c>
      <c r="C658" s="1" t="s">
        <v>2208</v>
      </c>
      <c r="D658" s="2">
        <v>81205112</v>
      </c>
      <c r="E658" s="1" t="s">
        <v>45</v>
      </c>
      <c r="F658" s="25">
        <v>138799.37</v>
      </c>
      <c r="G658" s="4">
        <v>45218</v>
      </c>
      <c r="H658" s="4">
        <v>43209</v>
      </c>
      <c r="I658" s="1" t="s">
        <v>2209</v>
      </c>
      <c r="J658" s="7" t="s">
        <v>2210</v>
      </c>
      <c r="K658" s="17">
        <v>619</v>
      </c>
      <c r="L658" t="str">
        <f ca="1">+IF(TODAY()-ICETEX[[#This Row],[fecha_ultimo_movimiento]]&gt;360,"Inactivo","Activo")</f>
        <v>Inactivo</v>
      </c>
      <c r="M658" s="24">
        <f>+VLOOKUP(ICETEX[[#This Row],[fecha_ultimo_movimiento]],UVR!A:B,2,0)</f>
        <v>354.41070000000002</v>
      </c>
      <c r="N658" s="24">
        <v>392</v>
      </c>
      <c r="O658" t="s">
        <v>3264</v>
      </c>
    </row>
    <row r="659" spans="1:15" ht="15" thickBot="1">
      <c r="A659" s="6">
        <v>658</v>
      </c>
      <c r="B659" s="1" t="s">
        <v>2211</v>
      </c>
      <c r="C659" s="1" t="s">
        <v>2212</v>
      </c>
      <c r="D659" s="2">
        <v>121136785</v>
      </c>
      <c r="E659" s="1" t="s">
        <v>12</v>
      </c>
      <c r="F659" s="25">
        <v>52103.06</v>
      </c>
      <c r="G659" s="4">
        <v>45151</v>
      </c>
      <c r="H659" s="4">
        <v>42833</v>
      </c>
      <c r="I659" s="1" t="s">
        <v>193</v>
      </c>
      <c r="J659" s="7" t="s">
        <v>2213</v>
      </c>
      <c r="K659" s="17">
        <v>686</v>
      </c>
      <c r="L659" t="str">
        <f ca="1">+IF(TODAY()-ICETEX[[#This Row],[fecha_ultimo_movimiento]]&gt;360,"Inactivo","Activo")</f>
        <v>Inactivo</v>
      </c>
      <c r="M659" s="24">
        <f>+VLOOKUP(ICETEX[[#This Row],[fecha_ultimo_movimiento]],UVR!A:B,2,0)</f>
        <v>349.8852</v>
      </c>
      <c r="N659" s="24">
        <v>149</v>
      </c>
      <c r="O659" t="s">
        <v>3265</v>
      </c>
    </row>
    <row r="660" spans="1:15" ht="15" thickBot="1">
      <c r="A660" s="6">
        <v>659</v>
      </c>
      <c r="B660" s="1" t="s">
        <v>2214</v>
      </c>
      <c r="C660" s="1" t="s">
        <v>2215</v>
      </c>
      <c r="D660" s="2">
        <v>42100175</v>
      </c>
      <c r="E660" s="1" t="s">
        <v>45</v>
      </c>
      <c r="F660" s="25">
        <v>178192.86</v>
      </c>
      <c r="G660" s="4">
        <v>44613</v>
      </c>
      <c r="H660" s="4">
        <v>42983</v>
      </c>
      <c r="I660" s="1" t="s">
        <v>330</v>
      </c>
      <c r="J660" s="7" t="s">
        <v>2216</v>
      </c>
      <c r="K660" s="17">
        <v>1224</v>
      </c>
      <c r="L660" t="str">
        <f ca="1">+IF(TODAY()-ICETEX[[#This Row],[fecha_ultimo_movimiento]]&gt;360,"Inactivo","Activo")</f>
        <v>Inactivo</v>
      </c>
      <c r="M660" s="24">
        <f>+VLOOKUP(ICETEX[[#This Row],[fecha_ultimo_movimiento]],UVR!A:B,2,0)</f>
        <v>292.46460000000002</v>
      </c>
      <c r="N660" s="24">
        <v>609</v>
      </c>
      <c r="O660" t="s">
        <v>3264</v>
      </c>
    </row>
    <row r="661" spans="1:15" ht="15" thickBot="1">
      <c r="A661" s="6">
        <v>660</v>
      </c>
      <c r="B661" s="1" t="s">
        <v>2217</v>
      </c>
      <c r="C661" s="1" t="s">
        <v>2218</v>
      </c>
      <c r="D661" s="2">
        <v>71923190</v>
      </c>
      <c r="E661" s="1" t="s">
        <v>12</v>
      </c>
      <c r="F661" s="25">
        <v>61759.58</v>
      </c>
      <c r="G661" s="4">
        <v>43943</v>
      </c>
      <c r="H661" s="4">
        <v>43272</v>
      </c>
      <c r="I661" s="1" t="s">
        <v>131</v>
      </c>
      <c r="J661" s="7" t="s">
        <v>2219</v>
      </c>
      <c r="K661" s="17">
        <v>1894</v>
      </c>
      <c r="L661" t="str">
        <f ca="1">+IF(TODAY()-ICETEX[[#This Row],[fecha_ultimo_movimiento]]&gt;360,"Inactivo","Activo")</f>
        <v>Inactivo</v>
      </c>
      <c r="M661" s="24">
        <f>+VLOOKUP(ICETEX[[#This Row],[fecha_ultimo_movimiento]],UVR!A:B,2,0)</f>
        <v>274.8802</v>
      </c>
      <c r="N661" s="24">
        <v>225</v>
      </c>
      <c r="O661" t="s">
        <v>3265</v>
      </c>
    </row>
    <row r="662" spans="1:15" ht="15" thickBot="1">
      <c r="A662" s="6">
        <v>661</v>
      </c>
      <c r="B662" s="1" t="s">
        <v>2220</v>
      </c>
      <c r="C662" s="1" t="s">
        <v>2221</v>
      </c>
      <c r="D662" s="2">
        <v>125107765</v>
      </c>
      <c r="E662" s="1" t="s">
        <v>12</v>
      </c>
      <c r="F662" s="25">
        <v>210629.73</v>
      </c>
      <c r="G662" s="4">
        <v>45616</v>
      </c>
      <c r="H662" s="4">
        <v>42586</v>
      </c>
      <c r="I662" s="1" t="s">
        <v>263</v>
      </c>
      <c r="J662" s="8" t="s">
        <v>2222</v>
      </c>
      <c r="K662" s="17">
        <v>221</v>
      </c>
      <c r="L662" t="str">
        <f ca="1">+IF(TODAY()-ICETEX[[#This Row],[fecha_ultimo_movimiento]]&gt;360,"Inactivo","Activo")</f>
        <v>Activo</v>
      </c>
      <c r="M662" s="24">
        <f>+VLOOKUP(ICETEX[[#This Row],[fecha_ultimo_movimiento]],UVR!A:B,2,0)</f>
        <v>376.66039999999998</v>
      </c>
      <c r="N662" s="24">
        <v>559</v>
      </c>
      <c r="O662" t="s">
        <v>3264</v>
      </c>
    </row>
    <row r="663" spans="1:15" ht="15" thickBot="1">
      <c r="A663" s="6">
        <v>662</v>
      </c>
      <c r="B663" s="1" t="s">
        <v>2223</v>
      </c>
      <c r="C663" s="1" t="s">
        <v>2224</v>
      </c>
      <c r="D663" s="2">
        <v>11101613</v>
      </c>
      <c r="E663" s="1" t="s">
        <v>45</v>
      </c>
      <c r="F663" s="25">
        <v>25648.21</v>
      </c>
      <c r="G663" s="4">
        <v>43985</v>
      </c>
      <c r="H663" s="4">
        <v>43328</v>
      </c>
      <c r="I663" s="1" t="s">
        <v>415</v>
      </c>
      <c r="J663" s="7" t="s">
        <v>2225</v>
      </c>
      <c r="K663" s="17">
        <v>1852</v>
      </c>
      <c r="L663" t="str">
        <f ca="1">+IF(TODAY()-ICETEX[[#This Row],[fecha_ultimo_movimiento]]&gt;360,"Inactivo","Activo")</f>
        <v>Inactivo</v>
      </c>
      <c r="M663" s="24">
        <f>+VLOOKUP(ICETEX[[#This Row],[fecha_ultimo_movimiento]],UVR!A:B,2,0)</f>
        <v>276.35129999999998</v>
      </c>
      <c r="N663" s="24">
        <v>93</v>
      </c>
      <c r="O663" t="s">
        <v>3265</v>
      </c>
    </row>
    <row r="664" spans="1:15" ht="15" thickBot="1">
      <c r="A664" s="6">
        <v>663</v>
      </c>
      <c r="B664" s="1" t="s">
        <v>2226</v>
      </c>
      <c r="C664" s="1" t="s">
        <v>2227</v>
      </c>
      <c r="D664" s="2">
        <v>21409567</v>
      </c>
      <c r="E664" s="1" t="s">
        <v>12</v>
      </c>
      <c r="F664" s="25">
        <v>97195.22</v>
      </c>
      <c r="G664" s="4">
        <v>44031</v>
      </c>
      <c r="H664" s="4">
        <v>43155</v>
      </c>
      <c r="I664" s="1" t="s">
        <v>13</v>
      </c>
      <c r="J664" s="7" t="s">
        <v>2228</v>
      </c>
      <c r="K664" s="17">
        <v>1806</v>
      </c>
      <c r="L664" t="str">
        <f ca="1">+IF(TODAY()-ICETEX[[#This Row],[fecha_ultimo_movimiento]]&gt;360,"Inactivo","Activo")</f>
        <v>Inactivo</v>
      </c>
      <c r="M664" s="24">
        <f>+VLOOKUP(ICETEX[[#This Row],[fecha_ultimo_movimiento]],UVR!A:B,2,0)</f>
        <v>275.50200000000001</v>
      </c>
      <c r="N664" s="24">
        <v>353</v>
      </c>
      <c r="O664" t="s">
        <v>3264</v>
      </c>
    </row>
    <row r="665" spans="1:15" ht="15" thickBot="1">
      <c r="A665" s="6">
        <v>664</v>
      </c>
      <c r="B665" s="1" t="s">
        <v>2229</v>
      </c>
      <c r="C665" s="1" t="s">
        <v>2230</v>
      </c>
      <c r="D665" s="2">
        <v>111914302</v>
      </c>
      <c r="E665" s="1" t="s">
        <v>45</v>
      </c>
      <c r="F665" s="25">
        <v>93062.84</v>
      </c>
      <c r="G665" s="4">
        <v>44488</v>
      </c>
      <c r="H665" s="4">
        <v>43003</v>
      </c>
      <c r="I665" s="1" t="s">
        <v>2231</v>
      </c>
      <c r="J665" s="7" t="s">
        <v>2232</v>
      </c>
      <c r="K665" s="17">
        <v>1349</v>
      </c>
      <c r="L665" t="str">
        <f ca="1">+IF(TODAY()-ICETEX[[#This Row],[fecha_ultimo_movimiento]]&gt;360,"Inactivo","Activo")</f>
        <v>Inactivo</v>
      </c>
      <c r="M665" s="24">
        <f>+VLOOKUP(ICETEX[[#This Row],[fecha_ultimo_movimiento]],UVR!A:B,2,0)</f>
        <v>286.899</v>
      </c>
      <c r="N665" s="24">
        <v>324</v>
      </c>
      <c r="O665" t="s">
        <v>3264</v>
      </c>
    </row>
    <row r="666" spans="1:15" ht="15" thickBot="1">
      <c r="A666" s="6">
        <v>665</v>
      </c>
      <c r="B666" s="1" t="s">
        <v>2233</v>
      </c>
      <c r="C666" s="1" t="s">
        <v>449</v>
      </c>
      <c r="D666" s="2">
        <v>121137506</v>
      </c>
      <c r="E666" s="1" t="s">
        <v>45</v>
      </c>
      <c r="F666" s="25">
        <v>66919.850000000006</v>
      </c>
      <c r="G666" s="4">
        <v>43994</v>
      </c>
      <c r="H666" s="4">
        <v>43201</v>
      </c>
      <c r="I666" s="1" t="s">
        <v>2234</v>
      </c>
      <c r="J666" s="7" t="s">
        <v>2235</v>
      </c>
      <c r="K666" s="17">
        <v>1843</v>
      </c>
      <c r="L666" t="str">
        <f ca="1">+IF(TODAY()-ICETEX[[#This Row],[fecha_ultimo_movimiento]]&gt;360,"Inactivo","Activo")</f>
        <v>Inactivo</v>
      </c>
      <c r="M666" s="24">
        <f>+VLOOKUP(ICETEX[[#This Row],[fecha_ultimo_movimiento]],UVR!A:B,2,0)</f>
        <v>276.4796</v>
      </c>
      <c r="N666" s="24">
        <v>242</v>
      </c>
      <c r="O666" t="s">
        <v>3265</v>
      </c>
    </row>
    <row r="667" spans="1:15" ht="15" thickBot="1">
      <c r="A667" s="6">
        <v>666</v>
      </c>
      <c r="B667" s="1" t="s">
        <v>2236</v>
      </c>
      <c r="C667" s="1" t="s">
        <v>2237</v>
      </c>
      <c r="D667" s="2">
        <v>111901467</v>
      </c>
      <c r="E667" s="1" t="s">
        <v>12</v>
      </c>
      <c r="F667" s="25">
        <v>95512.2</v>
      </c>
      <c r="G667" s="4">
        <v>44037</v>
      </c>
      <c r="H667" s="4">
        <v>42686</v>
      </c>
      <c r="I667" s="1" t="s">
        <v>1446</v>
      </c>
      <c r="J667" s="7" t="s">
        <v>2238</v>
      </c>
      <c r="K667" s="17">
        <v>1800</v>
      </c>
      <c r="L667" t="str">
        <f ca="1">+IF(TODAY()-ICETEX[[#This Row],[fecha_ultimo_movimiento]]&gt;360,"Inactivo","Activo")</f>
        <v>Inactivo</v>
      </c>
      <c r="M667" s="24">
        <f>+VLOOKUP(ICETEX[[#This Row],[fecha_ultimo_movimiento]],UVR!A:B,2,0)</f>
        <v>275.29910000000001</v>
      </c>
      <c r="N667" s="24">
        <v>347</v>
      </c>
      <c r="O667" t="s">
        <v>3264</v>
      </c>
    </row>
    <row r="668" spans="1:15" ht="15" thickBot="1">
      <c r="A668" s="6">
        <v>667</v>
      </c>
      <c r="B668" s="1" t="s">
        <v>2239</v>
      </c>
      <c r="C668" s="1" t="s">
        <v>2240</v>
      </c>
      <c r="D668" s="2">
        <v>51402961</v>
      </c>
      <c r="E668" s="1" t="s">
        <v>45</v>
      </c>
      <c r="F668" s="25">
        <v>66554.17</v>
      </c>
      <c r="G668" s="4">
        <v>44481</v>
      </c>
      <c r="H668" s="4">
        <v>42591</v>
      </c>
      <c r="I668" s="1" t="s">
        <v>217</v>
      </c>
      <c r="J668" s="7" t="s">
        <v>2241</v>
      </c>
      <c r="K668" s="17">
        <v>1356</v>
      </c>
      <c r="L668" t="str">
        <f ca="1">+IF(TODAY()-ICETEX[[#This Row],[fecha_ultimo_movimiento]]&gt;360,"Inactivo","Activo")</f>
        <v>Inactivo</v>
      </c>
      <c r="M668" s="24">
        <f>+VLOOKUP(ICETEX[[#This Row],[fecha_ultimo_movimiento]],UVR!A:B,2,0)</f>
        <v>286.62990000000002</v>
      </c>
      <c r="N668" s="24">
        <v>232</v>
      </c>
      <c r="O668" t="s">
        <v>3265</v>
      </c>
    </row>
    <row r="669" spans="1:15" ht="15" thickBot="1">
      <c r="A669" s="6">
        <v>668</v>
      </c>
      <c r="B669" s="1" t="s">
        <v>2242</v>
      </c>
      <c r="C669" s="1" t="s">
        <v>2243</v>
      </c>
      <c r="D669" s="2">
        <v>26014041</v>
      </c>
      <c r="E669" s="1" t="s">
        <v>12</v>
      </c>
      <c r="F669" s="25">
        <v>148928.71</v>
      </c>
      <c r="G669" s="4">
        <v>45612</v>
      </c>
      <c r="H669" s="4">
        <v>42878</v>
      </c>
      <c r="I669" s="1" t="s">
        <v>447</v>
      </c>
      <c r="J669" s="8" t="s">
        <v>2244</v>
      </c>
      <c r="K669" s="17">
        <v>225</v>
      </c>
      <c r="L669" t="str">
        <f ca="1">+IF(TODAY()-ICETEX[[#This Row],[fecha_ultimo_movimiento]]&gt;360,"Inactivo","Activo")</f>
        <v>Activo</v>
      </c>
      <c r="M669" s="24">
        <f>+VLOOKUP(ICETEX[[#This Row],[fecha_ultimo_movimiento]],UVR!A:B,2,0)</f>
        <v>376.72579999999999</v>
      </c>
      <c r="N669" s="24">
        <v>395</v>
      </c>
      <c r="O669" t="s">
        <v>3264</v>
      </c>
    </row>
    <row r="670" spans="1:15" ht="15" thickBot="1">
      <c r="A670" s="6">
        <v>669</v>
      </c>
      <c r="B670" s="1" t="s">
        <v>2245</v>
      </c>
      <c r="C670" s="1" t="s">
        <v>2246</v>
      </c>
      <c r="D670" s="2">
        <v>86506955</v>
      </c>
      <c r="E670" s="1" t="s">
        <v>12</v>
      </c>
      <c r="F670" s="25">
        <v>212993.9</v>
      </c>
      <c r="G670" s="4">
        <v>45264</v>
      </c>
      <c r="H670" s="4">
        <v>42686</v>
      </c>
      <c r="I670" s="1" t="s">
        <v>1351</v>
      </c>
      <c r="J670" s="7" t="s">
        <v>2247</v>
      </c>
      <c r="K670" s="17">
        <v>573</v>
      </c>
      <c r="L670" t="str">
        <f ca="1">+IF(TODAY()-ICETEX[[#This Row],[fecha_ultimo_movimiento]]&gt;360,"Inactivo","Activo")</f>
        <v>Inactivo</v>
      </c>
      <c r="M670" s="24">
        <f>+VLOOKUP(ICETEX[[#This Row],[fecha_ultimo_movimiento]],UVR!A:B,2,0)</f>
        <v>356.64049999999997</v>
      </c>
      <c r="N670" s="24">
        <v>597</v>
      </c>
      <c r="O670" t="s">
        <v>3264</v>
      </c>
    </row>
    <row r="671" spans="1:15" ht="15" thickBot="1">
      <c r="A671" s="6">
        <v>670</v>
      </c>
      <c r="B671" s="1" t="s">
        <v>2248</v>
      </c>
      <c r="C671" s="1" t="s">
        <v>2249</v>
      </c>
      <c r="D671" s="2">
        <v>72412972</v>
      </c>
      <c r="E671" s="1" t="s">
        <v>45</v>
      </c>
      <c r="F671" s="25">
        <v>85470.74</v>
      </c>
      <c r="G671" s="4">
        <v>44759</v>
      </c>
      <c r="H671" s="4">
        <v>42979</v>
      </c>
      <c r="I671" s="1" t="s">
        <v>319</v>
      </c>
      <c r="J671" s="7" t="s">
        <v>2250</v>
      </c>
      <c r="K671" s="17">
        <v>1078</v>
      </c>
      <c r="L671" t="str">
        <f ca="1">+IF(TODAY()-ICETEX[[#This Row],[fecha_ultimo_movimiento]]&gt;360,"Inactivo","Activo")</f>
        <v>Inactivo</v>
      </c>
      <c r="M671" s="24">
        <f>+VLOOKUP(ICETEX[[#This Row],[fecha_ultimo_movimiento]],UVR!A:B,2,0)</f>
        <v>310.6266</v>
      </c>
      <c r="N671" s="24">
        <v>275</v>
      </c>
      <c r="O671" t="s">
        <v>3265</v>
      </c>
    </row>
    <row r="672" spans="1:15" ht="15" thickBot="1">
      <c r="A672" s="6">
        <v>671</v>
      </c>
      <c r="B672" s="1" t="s">
        <v>67</v>
      </c>
      <c r="C672" s="1" t="s">
        <v>2251</v>
      </c>
      <c r="D672" s="2">
        <v>11402008</v>
      </c>
      <c r="E672" s="1" t="s">
        <v>12</v>
      </c>
      <c r="F672" s="25">
        <v>107324.13</v>
      </c>
      <c r="G672" s="4">
        <v>43913</v>
      </c>
      <c r="H672" s="4">
        <v>42490</v>
      </c>
      <c r="I672" s="1" t="s">
        <v>96</v>
      </c>
      <c r="J672" s="7" t="s">
        <v>2252</v>
      </c>
      <c r="K672" s="17">
        <v>1924</v>
      </c>
      <c r="L672" t="str">
        <f ca="1">+IF(TODAY()-ICETEX[[#This Row],[fecha_ultimo_movimiento]]&gt;360,"Inactivo","Activo")</f>
        <v>Inactivo</v>
      </c>
      <c r="M672" s="24">
        <f>+VLOOKUP(ICETEX[[#This Row],[fecha_ultimo_movimiento]],UVR!A:B,2,0)</f>
        <v>273.1592</v>
      </c>
      <c r="N672" s="24">
        <v>393</v>
      </c>
      <c r="O672" t="s">
        <v>3264</v>
      </c>
    </row>
    <row r="673" spans="1:15" ht="15" thickBot="1">
      <c r="A673" s="6">
        <v>672</v>
      </c>
      <c r="B673" s="1" t="s">
        <v>2253</v>
      </c>
      <c r="C673" s="1" t="s">
        <v>2254</v>
      </c>
      <c r="D673" s="2">
        <v>91406972</v>
      </c>
      <c r="E673" s="1" t="s">
        <v>45</v>
      </c>
      <c r="F673" s="25">
        <v>136752.19</v>
      </c>
      <c r="G673" s="4">
        <v>44942</v>
      </c>
      <c r="H673" s="4">
        <v>43166</v>
      </c>
      <c r="I673" s="1" t="s">
        <v>2255</v>
      </c>
      <c r="J673" s="7" t="s">
        <v>2256</v>
      </c>
      <c r="K673" s="17">
        <v>895</v>
      </c>
      <c r="L673" t="str">
        <f ca="1">+IF(TODAY()-ICETEX[[#This Row],[fecha_ultimo_movimiento]]&gt;360,"Inactivo","Activo")</f>
        <v>Inactivo</v>
      </c>
      <c r="M673" s="24">
        <f>+VLOOKUP(ICETEX[[#This Row],[fecha_ultimo_movimiento]],UVR!A:B,2,0)</f>
        <v>325.73110000000003</v>
      </c>
      <c r="N673" s="24">
        <v>420</v>
      </c>
      <c r="O673" t="s">
        <v>3264</v>
      </c>
    </row>
    <row r="674" spans="1:15" ht="15" thickBot="1">
      <c r="A674" s="6">
        <v>673</v>
      </c>
      <c r="B674" s="1" t="s">
        <v>2257</v>
      </c>
      <c r="C674" s="1" t="s">
        <v>2258</v>
      </c>
      <c r="D674" s="2">
        <v>71118798</v>
      </c>
      <c r="E674" s="1" t="s">
        <v>12</v>
      </c>
      <c r="F674" s="25">
        <v>166166.45000000001</v>
      </c>
      <c r="G674" s="4">
        <v>44291</v>
      </c>
      <c r="H674" s="4">
        <v>43154</v>
      </c>
      <c r="I674" s="1" t="s">
        <v>2259</v>
      </c>
      <c r="J674" s="7" t="s">
        <v>2260</v>
      </c>
      <c r="K674" s="17">
        <v>1546</v>
      </c>
      <c r="L674" t="str">
        <f ca="1">+IF(TODAY()-ICETEX[[#This Row],[fecha_ultimo_movimiento]]&gt;360,"Inactivo","Activo")</f>
        <v>Inactivo</v>
      </c>
      <c r="M674" s="24">
        <f>+VLOOKUP(ICETEX[[#This Row],[fecha_ultimo_movimiento]],UVR!A:B,2,0)</f>
        <v>278.23849999999999</v>
      </c>
      <c r="N674" s="24">
        <v>597</v>
      </c>
      <c r="O674" t="s">
        <v>3264</v>
      </c>
    </row>
    <row r="675" spans="1:15" ht="15" thickBot="1">
      <c r="A675" s="6">
        <v>674</v>
      </c>
      <c r="B675" s="1" t="s">
        <v>2261</v>
      </c>
      <c r="C675" s="1" t="s">
        <v>2262</v>
      </c>
      <c r="D675" s="2">
        <v>86518723</v>
      </c>
      <c r="E675" s="1" t="s">
        <v>12</v>
      </c>
      <c r="F675" s="25">
        <v>73742.2</v>
      </c>
      <c r="G675" s="4">
        <v>44503</v>
      </c>
      <c r="H675" s="4">
        <v>42830</v>
      </c>
      <c r="I675" s="1" t="s">
        <v>1351</v>
      </c>
      <c r="J675" s="7" t="s">
        <v>2263</v>
      </c>
      <c r="K675" s="17">
        <v>1334</v>
      </c>
      <c r="L675" t="str">
        <f ca="1">+IF(TODAY()-ICETEX[[#This Row],[fecha_ultimo_movimiento]]&gt;360,"Inactivo","Activo")</f>
        <v>Inactivo</v>
      </c>
      <c r="M675" s="24">
        <f>+VLOOKUP(ICETEX[[#This Row],[fecha_ultimo_movimiento]],UVR!A:B,2,0)</f>
        <v>287.42599999999999</v>
      </c>
      <c r="N675" s="24">
        <v>257</v>
      </c>
      <c r="O675" t="s">
        <v>3265</v>
      </c>
    </row>
    <row r="676" spans="1:15" ht="15" thickBot="1">
      <c r="A676" s="6">
        <v>675</v>
      </c>
      <c r="B676" s="1" t="s">
        <v>2264</v>
      </c>
      <c r="C676" s="1" t="s">
        <v>2265</v>
      </c>
      <c r="D676" s="2">
        <v>82000109</v>
      </c>
      <c r="E676" s="1" t="s">
        <v>12</v>
      </c>
      <c r="F676" s="25">
        <v>12416.25</v>
      </c>
      <c r="G676" s="4">
        <v>45792</v>
      </c>
      <c r="H676" s="4">
        <v>43182</v>
      </c>
      <c r="I676" s="1" t="s">
        <v>25</v>
      </c>
      <c r="J676" s="8" t="s">
        <v>2266</v>
      </c>
      <c r="K676" s="17">
        <v>45</v>
      </c>
      <c r="L676" t="str">
        <f ca="1">+IF(TODAY()-ICETEX[[#This Row],[fecha_ultimo_movimiento]]&gt;360,"Inactivo","Activo")</f>
        <v>Activo</v>
      </c>
      <c r="M676" s="24">
        <f>+VLOOKUP(ICETEX[[#This Row],[fecha_ultimo_movimiento]],UVR!A:B,2,0)</f>
        <v>388.93950000000001</v>
      </c>
      <c r="N676" s="24">
        <v>32</v>
      </c>
      <c r="O676" t="s">
        <v>3264</v>
      </c>
    </row>
    <row r="677" spans="1:15" ht="15" thickBot="1">
      <c r="A677" s="6">
        <v>676</v>
      </c>
      <c r="B677" s="1" t="s">
        <v>2267</v>
      </c>
      <c r="C677" s="1" t="s">
        <v>2268</v>
      </c>
      <c r="D677" s="2">
        <v>111916326</v>
      </c>
      <c r="E677" s="1" t="s">
        <v>12</v>
      </c>
      <c r="F677" s="25">
        <v>69885.08</v>
      </c>
      <c r="G677" s="4">
        <v>44398</v>
      </c>
      <c r="H677" s="4">
        <v>42528</v>
      </c>
      <c r="I677" s="1" t="s">
        <v>2269</v>
      </c>
      <c r="J677" s="7" t="s">
        <v>2270</v>
      </c>
      <c r="K677" s="17">
        <v>1439</v>
      </c>
      <c r="L677" t="str">
        <f ca="1">+IF(TODAY()-ICETEX[[#This Row],[fecha_ultimo_movimiento]]&gt;360,"Inactivo","Activo")</f>
        <v>Inactivo</v>
      </c>
      <c r="M677" s="24">
        <f>+VLOOKUP(ICETEX[[#This Row],[fecha_ultimo_movimiento]],UVR!A:B,2,0)</f>
        <v>284.6782</v>
      </c>
      <c r="N677" s="24">
        <v>245</v>
      </c>
      <c r="O677" t="s">
        <v>3265</v>
      </c>
    </row>
    <row r="678" spans="1:15" ht="15" thickBot="1">
      <c r="A678" s="6">
        <v>677</v>
      </c>
      <c r="B678" s="1" t="s">
        <v>2271</v>
      </c>
      <c r="C678" s="1" t="s">
        <v>2272</v>
      </c>
      <c r="D678" s="2">
        <v>26004970</v>
      </c>
      <c r="E678" s="1" t="s">
        <v>12</v>
      </c>
      <c r="F678" s="25">
        <v>206995.49</v>
      </c>
      <c r="G678" s="4">
        <v>44067</v>
      </c>
      <c r="H678" s="4">
        <v>43345</v>
      </c>
      <c r="I678" s="1" t="s">
        <v>1832</v>
      </c>
      <c r="J678" s="7" t="s">
        <v>2273</v>
      </c>
      <c r="K678" s="17">
        <v>1770</v>
      </c>
      <c r="L678" t="str">
        <f ca="1">+IF(TODAY()-ICETEX[[#This Row],[fecha_ultimo_movimiento]]&gt;360,"Inactivo","Activo")</f>
        <v>Inactivo</v>
      </c>
      <c r="M678" s="24">
        <f>+VLOOKUP(ICETEX[[#This Row],[fecha_ultimo_movimiento]],UVR!A:B,2,0)</f>
        <v>274.58999999999997</v>
      </c>
      <c r="N678" s="24">
        <v>754</v>
      </c>
      <c r="O678" t="s">
        <v>3264</v>
      </c>
    </row>
    <row r="679" spans="1:15" ht="15" thickBot="1">
      <c r="A679" s="6">
        <v>678</v>
      </c>
      <c r="B679" s="1" t="s">
        <v>2274</v>
      </c>
      <c r="C679" s="1" t="s">
        <v>2275</v>
      </c>
      <c r="D679" s="2">
        <v>72404142</v>
      </c>
      <c r="E679" s="1" t="s">
        <v>45</v>
      </c>
      <c r="F679" s="25">
        <v>157977.28</v>
      </c>
      <c r="G679" s="4">
        <v>44723</v>
      </c>
      <c r="H679" s="4">
        <v>42666</v>
      </c>
      <c r="I679" s="1" t="s">
        <v>270</v>
      </c>
      <c r="J679" s="7" t="s">
        <v>2276</v>
      </c>
      <c r="K679" s="17">
        <v>1114</v>
      </c>
      <c r="L679" t="str">
        <f ca="1">+IF(TODAY()-ICETEX[[#This Row],[fecha_ultimo_movimiento]]&gt;360,"Inactivo","Activo")</f>
        <v>Inactivo</v>
      </c>
      <c r="M679" s="24">
        <f>+VLOOKUP(ICETEX[[#This Row],[fecha_ultimo_movimiento]],UVR!A:B,2,0)</f>
        <v>307.44479999999999</v>
      </c>
      <c r="N679" s="24">
        <v>514</v>
      </c>
      <c r="O679" t="s">
        <v>3264</v>
      </c>
    </row>
    <row r="680" spans="1:15" ht="15" thickBot="1">
      <c r="A680" s="6">
        <v>679</v>
      </c>
      <c r="B680" s="1" t="s">
        <v>2277</v>
      </c>
      <c r="C680" s="1" t="s">
        <v>2278</v>
      </c>
      <c r="D680" s="2">
        <v>111103317</v>
      </c>
      <c r="E680" s="1" t="s">
        <v>12</v>
      </c>
      <c r="F680" s="25">
        <v>184571.96</v>
      </c>
      <c r="G680" s="4">
        <v>44198</v>
      </c>
      <c r="H680" s="4">
        <v>43443</v>
      </c>
      <c r="I680" s="1" t="s">
        <v>13</v>
      </c>
      <c r="J680" s="7" t="s">
        <v>2279</v>
      </c>
      <c r="K680" s="17">
        <v>1639</v>
      </c>
      <c r="L680" t="str">
        <f ca="1">+IF(TODAY()-ICETEX[[#This Row],[fecha_ultimo_movimiento]]&gt;360,"Inactivo","Activo")</f>
        <v>Inactivo</v>
      </c>
      <c r="M680" s="24">
        <f>+VLOOKUP(ICETEX[[#This Row],[fecha_ultimo_movimiento]],UVR!A:B,2,0)</f>
        <v>275.036</v>
      </c>
      <c r="N680" s="24">
        <v>671</v>
      </c>
      <c r="O680" t="s">
        <v>3264</v>
      </c>
    </row>
    <row r="681" spans="1:15" ht="15" thickBot="1">
      <c r="A681" s="6">
        <v>680</v>
      </c>
      <c r="B681" s="1" t="s">
        <v>2280</v>
      </c>
      <c r="C681" s="1" t="s">
        <v>2281</v>
      </c>
      <c r="D681" s="2">
        <v>211174369</v>
      </c>
      <c r="E681" s="1" t="s">
        <v>45</v>
      </c>
      <c r="F681" s="25">
        <v>20232.75</v>
      </c>
      <c r="G681" s="4">
        <v>45801</v>
      </c>
      <c r="H681" s="4">
        <v>42932</v>
      </c>
      <c r="I681" s="1" t="s">
        <v>96</v>
      </c>
      <c r="J681" s="7" t="s">
        <v>2282</v>
      </c>
      <c r="K681" s="17">
        <v>36</v>
      </c>
      <c r="L681" t="str">
        <f ca="1">+IF(TODAY()-ICETEX[[#This Row],[fecha_ultimo_movimiento]]&gt;360,"Inactivo","Activo")</f>
        <v>Activo</v>
      </c>
      <c r="M681" s="24">
        <f>+VLOOKUP(ICETEX[[#This Row],[fecha_ultimo_movimiento]],UVR!A:B,2,0)</f>
        <v>389.68299999999999</v>
      </c>
      <c r="N681" s="24">
        <v>52</v>
      </c>
      <c r="O681" t="s">
        <v>3264</v>
      </c>
    </row>
    <row r="682" spans="1:15" ht="15" thickBot="1">
      <c r="A682" s="6">
        <v>681</v>
      </c>
      <c r="B682" s="1" t="s">
        <v>2283</v>
      </c>
      <c r="C682" s="1" t="s">
        <v>2284</v>
      </c>
      <c r="D682" s="2">
        <v>53107963</v>
      </c>
      <c r="E682" s="1" t="s">
        <v>45</v>
      </c>
      <c r="F682" s="25">
        <v>57971.64</v>
      </c>
      <c r="G682" s="4">
        <v>45237</v>
      </c>
      <c r="H682" s="4">
        <v>43230</v>
      </c>
      <c r="I682" s="1" t="s">
        <v>217</v>
      </c>
      <c r="J682" s="7" t="s">
        <v>2285</v>
      </c>
      <c r="K682" s="17">
        <v>600</v>
      </c>
      <c r="L682" t="str">
        <f ca="1">+IF(TODAY()-ICETEX[[#This Row],[fecha_ultimo_movimiento]]&gt;360,"Inactivo","Activo")</f>
        <v>Inactivo</v>
      </c>
      <c r="M682" s="24">
        <f>+VLOOKUP(ICETEX[[#This Row],[fecha_ultimo_movimiento]],UVR!A:B,2,0)</f>
        <v>355.58249999999998</v>
      </c>
      <c r="N682" s="24">
        <v>163</v>
      </c>
      <c r="O682" t="s">
        <v>3265</v>
      </c>
    </row>
    <row r="683" spans="1:15" ht="15" thickBot="1">
      <c r="A683" s="6">
        <v>682</v>
      </c>
      <c r="B683" s="1" t="s">
        <v>2286</v>
      </c>
      <c r="C683" s="1" t="s">
        <v>2287</v>
      </c>
      <c r="D683" s="2">
        <v>111915770</v>
      </c>
      <c r="E683" s="1" t="s">
        <v>45</v>
      </c>
      <c r="F683" s="25">
        <v>89181.02</v>
      </c>
      <c r="G683" s="4">
        <v>45166</v>
      </c>
      <c r="H683" s="4">
        <v>42930</v>
      </c>
      <c r="I683" s="1" t="s">
        <v>2288</v>
      </c>
      <c r="J683" s="7" t="s">
        <v>2289</v>
      </c>
      <c r="K683" s="17">
        <v>671</v>
      </c>
      <c r="L683" t="str">
        <f ca="1">+IF(TODAY()-ICETEX[[#This Row],[fecha_ultimo_movimiento]]&gt;360,"Inactivo","Activo")</f>
        <v>Inactivo</v>
      </c>
      <c r="M683" s="24">
        <f>+VLOOKUP(ICETEX[[#This Row],[fecha_ultimo_movimiento]],UVR!A:B,2,0)</f>
        <v>350.68549999999999</v>
      </c>
      <c r="N683" s="24">
        <v>254</v>
      </c>
      <c r="O683" t="s">
        <v>3265</v>
      </c>
    </row>
    <row r="684" spans="1:15" ht="15" thickBot="1">
      <c r="A684" s="6">
        <v>683</v>
      </c>
      <c r="B684" s="1" t="s">
        <v>1975</v>
      </c>
      <c r="C684" s="1" t="s">
        <v>2290</v>
      </c>
      <c r="D684" s="2">
        <v>43317679</v>
      </c>
      <c r="E684" s="1" t="s">
        <v>12</v>
      </c>
      <c r="F684" s="25">
        <v>151168.84</v>
      </c>
      <c r="G684" s="4">
        <v>45420</v>
      </c>
      <c r="H684" s="4">
        <v>43119</v>
      </c>
      <c r="I684" s="1" t="s">
        <v>88</v>
      </c>
      <c r="J684" s="7" t="s">
        <v>2291</v>
      </c>
      <c r="K684" s="17">
        <v>417</v>
      </c>
      <c r="L684" t="str">
        <f ca="1">+IF(TODAY()-ICETEX[[#This Row],[fecha_ultimo_movimiento]]&gt;360,"Inactivo","Activo")</f>
        <v>Inactivo</v>
      </c>
      <c r="M684" s="24">
        <f>+VLOOKUP(ICETEX[[#This Row],[fecha_ultimo_movimiento]],UVR!A:B,2,0)</f>
        <v>369.50689999999997</v>
      </c>
      <c r="N684" s="24">
        <v>409</v>
      </c>
      <c r="O684" t="s">
        <v>3264</v>
      </c>
    </row>
    <row r="685" spans="1:15" ht="15" thickBot="1">
      <c r="A685" s="6">
        <v>684</v>
      </c>
      <c r="B685" s="1" t="s">
        <v>2292</v>
      </c>
      <c r="C685" s="1" t="s">
        <v>2293</v>
      </c>
      <c r="D685" s="2">
        <v>86518723</v>
      </c>
      <c r="E685" s="1" t="s">
        <v>45</v>
      </c>
      <c r="F685" s="25">
        <v>179991.13</v>
      </c>
      <c r="G685" s="4">
        <v>44077</v>
      </c>
      <c r="H685" s="4">
        <v>43338</v>
      </c>
      <c r="I685" s="1" t="s">
        <v>1351</v>
      </c>
      <c r="J685" s="7" t="s">
        <v>2294</v>
      </c>
      <c r="K685" s="17">
        <v>1760</v>
      </c>
      <c r="L685" t="str">
        <f ca="1">+IF(TODAY()-ICETEX[[#This Row],[fecha_ultimo_movimiento]]&gt;360,"Inactivo","Activo")</f>
        <v>Inactivo</v>
      </c>
      <c r="M685" s="24">
        <f>+VLOOKUP(ICETEX[[#This Row],[fecha_ultimo_movimiento]],UVR!A:B,2,0)</f>
        <v>274.58999999999997</v>
      </c>
      <c r="N685" s="24">
        <v>655</v>
      </c>
      <c r="O685" t="s">
        <v>3264</v>
      </c>
    </row>
    <row r="686" spans="1:15" ht="15" thickBot="1">
      <c r="A686" s="6">
        <v>685</v>
      </c>
      <c r="B686" s="1" t="s">
        <v>2295</v>
      </c>
      <c r="C686" s="1" t="s">
        <v>2296</v>
      </c>
      <c r="D686" s="2">
        <v>221371822</v>
      </c>
      <c r="E686" s="1" t="s">
        <v>45</v>
      </c>
      <c r="F686" s="25">
        <v>40342.410000000003</v>
      </c>
      <c r="G686" s="4">
        <v>45188</v>
      </c>
      <c r="H686" s="4">
        <v>42615</v>
      </c>
      <c r="I686" s="1" t="s">
        <v>1035</v>
      </c>
      <c r="J686" s="7" t="s">
        <v>2297</v>
      </c>
      <c r="K686" s="17">
        <v>649</v>
      </c>
      <c r="L686" t="str">
        <f ca="1">+IF(TODAY()-ICETEX[[#This Row],[fecha_ultimo_movimiento]]&gt;360,"Inactivo","Activo")</f>
        <v>Inactivo</v>
      </c>
      <c r="M686" s="24">
        <f>+VLOOKUP(ICETEX[[#This Row],[fecha_ultimo_movimiento]],UVR!A:B,2,0)</f>
        <v>352.0299</v>
      </c>
      <c r="N686" s="24">
        <v>115</v>
      </c>
      <c r="O686" t="s">
        <v>3265</v>
      </c>
    </row>
    <row r="687" spans="1:15" ht="15" thickBot="1">
      <c r="A687" s="6">
        <v>686</v>
      </c>
      <c r="B687" s="1" t="s">
        <v>2298</v>
      </c>
      <c r="C687" s="1" t="s">
        <v>2299</v>
      </c>
      <c r="D687" s="2">
        <v>43300712</v>
      </c>
      <c r="E687" s="1" t="s">
        <v>12</v>
      </c>
      <c r="F687" s="25">
        <v>18435.099999999999</v>
      </c>
      <c r="G687" s="4">
        <v>44576</v>
      </c>
      <c r="H687" s="4">
        <v>42956</v>
      </c>
      <c r="I687" s="1" t="s">
        <v>88</v>
      </c>
      <c r="J687" s="7" t="s">
        <v>2300</v>
      </c>
      <c r="K687" s="17">
        <v>1261</v>
      </c>
      <c r="L687" t="str">
        <f ca="1">+IF(TODAY()-ICETEX[[#This Row],[fecha_ultimo_movimiento]]&gt;360,"Inactivo","Activo")</f>
        <v>Inactivo</v>
      </c>
      <c r="M687" s="24">
        <f>+VLOOKUP(ICETEX[[#This Row],[fecha_ultimo_movimiento]],UVR!A:B,2,0)</f>
        <v>289.31650000000002</v>
      </c>
      <c r="N687" s="24">
        <v>64</v>
      </c>
      <c r="O687" t="s">
        <v>3265</v>
      </c>
    </row>
    <row r="688" spans="1:15" ht="15" thickBot="1">
      <c r="A688" s="6">
        <v>687</v>
      </c>
      <c r="B688" s="1" t="s">
        <v>2301</v>
      </c>
      <c r="C688" s="1" t="s">
        <v>2302</v>
      </c>
      <c r="D688" s="2">
        <v>55001766</v>
      </c>
      <c r="E688" s="1" t="s">
        <v>45</v>
      </c>
      <c r="F688" s="25">
        <v>88981.05</v>
      </c>
      <c r="G688" s="4">
        <v>45069</v>
      </c>
      <c r="H688" s="4">
        <v>42409</v>
      </c>
      <c r="I688" s="1" t="s">
        <v>147</v>
      </c>
      <c r="J688" s="7" t="s">
        <v>2303</v>
      </c>
      <c r="K688" s="17">
        <v>768</v>
      </c>
      <c r="L688" t="str">
        <f ca="1">+IF(TODAY()-ICETEX[[#This Row],[fecha_ultimo_movimiento]]&gt;360,"Inactivo","Activo")</f>
        <v>Inactivo</v>
      </c>
      <c r="M688" s="24">
        <f>+VLOOKUP(ICETEX[[#This Row],[fecha_ultimo_movimiento]],UVR!A:B,2,0)</f>
        <v>345.4153</v>
      </c>
      <c r="N688" s="24">
        <v>258</v>
      </c>
      <c r="O688" t="s">
        <v>3265</v>
      </c>
    </row>
    <row r="689" spans="1:15" ht="15" thickBot="1">
      <c r="A689" s="6">
        <v>688</v>
      </c>
      <c r="B689" s="1" t="s">
        <v>2304</v>
      </c>
      <c r="C689" s="1" t="s">
        <v>2305</v>
      </c>
      <c r="D689" s="2">
        <v>72406768</v>
      </c>
      <c r="E689" s="1" t="s">
        <v>45</v>
      </c>
      <c r="F689" s="25">
        <v>153527.62</v>
      </c>
      <c r="G689" s="4">
        <v>45686</v>
      </c>
      <c r="H689" s="4">
        <v>43291</v>
      </c>
      <c r="I689" s="1" t="s">
        <v>270</v>
      </c>
      <c r="J689" s="7" t="s">
        <v>2306</v>
      </c>
      <c r="K689" s="17">
        <v>151</v>
      </c>
      <c r="L689" t="str">
        <f ca="1">+IF(TODAY()-ICETEX[[#This Row],[fecha_ultimo_movimiento]]&gt;360,"Inactivo","Activo")</f>
        <v>Activo</v>
      </c>
      <c r="M689" s="24">
        <f>+VLOOKUP(ICETEX[[#This Row],[fecha_ultimo_movimiento]],UVR!A:B,2,0)</f>
        <v>378.05099999999999</v>
      </c>
      <c r="N689" s="24">
        <v>406</v>
      </c>
      <c r="O689" t="s">
        <v>3264</v>
      </c>
    </row>
    <row r="690" spans="1:15" ht="15" thickBot="1">
      <c r="A690" s="6">
        <v>689</v>
      </c>
      <c r="B690" s="1" t="s">
        <v>2307</v>
      </c>
      <c r="C690" s="1" t="s">
        <v>2308</v>
      </c>
      <c r="D690" s="2">
        <v>86518723</v>
      </c>
      <c r="E690" s="1" t="s">
        <v>45</v>
      </c>
      <c r="F690" s="25">
        <v>152659.87</v>
      </c>
      <c r="G690" s="4">
        <v>44177</v>
      </c>
      <c r="H690" s="4">
        <v>42405</v>
      </c>
      <c r="I690" s="1" t="s">
        <v>1351</v>
      </c>
      <c r="J690" s="7" t="s">
        <v>2309</v>
      </c>
      <c r="K690" s="17">
        <v>1660</v>
      </c>
      <c r="L690" t="str">
        <f ca="1">+IF(TODAY()-ICETEX[[#This Row],[fecha_ultimo_movimiento]]&gt;360,"Inactivo","Activo")</f>
        <v>Inactivo</v>
      </c>
      <c r="M690" s="24">
        <f>+VLOOKUP(ICETEX[[#This Row],[fecha_ultimo_movimiento]],UVR!A:B,2,0)</f>
        <v>275.29239999999999</v>
      </c>
      <c r="N690" s="24">
        <v>555</v>
      </c>
      <c r="O690" t="s">
        <v>3264</v>
      </c>
    </row>
    <row r="691" spans="1:15" ht="15" thickBot="1">
      <c r="A691" s="6">
        <v>690</v>
      </c>
      <c r="B691" s="1" t="s">
        <v>2310</v>
      </c>
      <c r="C691" s="1" t="s">
        <v>2311</v>
      </c>
      <c r="D691" s="2">
        <v>242272188</v>
      </c>
      <c r="E691" s="1" t="s">
        <v>45</v>
      </c>
      <c r="F691" s="25">
        <v>117759.88</v>
      </c>
      <c r="G691" s="4">
        <v>45155</v>
      </c>
      <c r="H691" s="4">
        <v>42878</v>
      </c>
      <c r="I691" s="1" t="s">
        <v>131</v>
      </c>
      <c r="J691" s="8" t="s">
        <v>2312</v>
      </c>
      <c r="K691" s="17">
        <v>682</v>
      </c>
      <c r="L691" t="str">
        <f ca="1">+IF(TODAY()-ICETEX[[#This Row],[fecha_ultimo_movimiento]]&gt;360,"Inactivo","Activo")</f>
        <v>Inactivo</v>
      </c>
      <c r="M691" s="24">
        <f>+VLOOKUP(ICETEX[[#This Row],[fecha_ultimo_movimiento]],UVR!A:B,2,0)</f>
        <v>350.06540000000001</v>
      </c>
      <c r="N691" s="24">
        <v>336</v>
      </c>
      <c r="O691" t="s">
        <v>3264</v>
      </c>
    </row>
    <row r="692" spans="1:15" ht="15" thickBot="1">
      <c r="A692" s="6">
        <v>691</v>
      </c>
      <c r="B692" s="1" t="s">
        <v>2313</v>
      </c>
      <c r="C692" s="1" t="s">
        <v>2314</v>
      </c>
      <c r="D692" s="2">
        <v>123203218</v>
      </c>
      <c r="E692" s="1" t="s">
        <v>12</v>
      </c>
      <c r="F692" s="25">
        <v>60532.35</v>
      </c>
      <c r="G692" s="4">
        <v>44270</v>
      </c>
      <c r="H692" s="4">
        <v>42955</v>
      </c>
      <c r="I692" s="1" t="s">
        <v>54</v>
      </c>
      <c r="J692" s="7" t="s">
        <v>1578</v>
      </c>
      <c r="K692" s="17">
        <v>1567</v>
      </c>
      <c r="L692" t="str">
        <f ca="1">+IF(TODAY()-ICETEX[[#This Row],[fecha_ultimo_movimiento]]&gt;360,"Inactivo","Activo")</f>
        <v>Inactivo</v>
      </c>
      <c r="M692" s="24">
        <f>+VLOOKUP(ICETEX[[#This Row],[fecha_ultimo_movimiento]],UVR!A:B,2,0)</f>
        <v>277.03859999999997</v>
      </c>
      <c r="N692" s="24">
        <v>218</v>
      </c>
      <c r="O692" t="s">
        <v>3265</v>
      </c>
    </row>
    <row r="693" spans="1:15" ht="15" thickBot="1">
      <c r="A693" s="6">
        <v>692</v>
      </c>
      <c r="B693" s="1" t="s">
        <v>2315</v>
      </c>
      <c r="C693" s="1" t="s">
        <v>2316</v>
      </c>
      <c r="D693" s="2">
        <v>86500634</v>
      </c>
      <c r="E693" s="1" t="s">
        <v>45</v>
      </c>
      <c r="F693" s="25">
        <v>51181.45</v>
      </c>
      <c r="G693" s="4">
        <v>45518</v>
      </c>
      <c r="H693" s="4">
        <v>43339</v>
      </c>
      <c r="I693" s="1" t="s">
        <v>1463</v>
      </c>
      <c r="J693" s="7" t="s">
        <v>2317</v>
      </c>
      <c r="K693" s="17">
        <v>319</v>
      </c>
      <c r="L693" t="str">
        <f ca="1">+IF(TODAY()-ICETEX[[#This Row],[fecha_ultimo_movimiento]]&gt;360,"Inactivo","Activo")</f>
        <v>Activo</v>
      </c>
      <c r="M693" s="24">
        <f>+VLOOKUP(ICETEX[[#This Row],[fecha_ultimo_movimiento]],UVR!A:B,2,0)</f>
        <v>375.05119999999999</v>
      </c>
      <c r="N693" s="24">
        <v>136</v>
      </c>
      <c r="O693" t="s">
        <v>3264</v>
      </c>
    </row>
    <row r="694" spans="1:15" ht="15" thickBot="1">
      <c r="A694" s="6">
        <v>693</v>
      </c>
      <c r="B694" s="1" t="s">
        <v>2318</v>
      </c>
      <c r="C694" s="1" t="s">
        <v>2319</v>
      </c>
      <c r="D694" s="2">
        <v>102103630</v>
      </c>
      <c r="E694" s="1" t="s">
        <v>45</v>
      </c>
      <c r="F694" s="25">
        <v>19682.18</v>
      </c>
      <c r="G694" s="4">
        <v>43963</v>
      </c>
      <c r="H694" s="4">
        <v>42696</v>
      </c>
      <c r="I694" s="1" t="s">
        <v>2320</v>
      </c>
      <c r="J694" s="7" t="s">
        <v>2321</v>
      </c>
      <c r="K694" s="17">
        <v>1874</v>
      </c>
      <c r="L694" t="str">
        <f ca="1">+IF(TODAY()-ICETEX[[#This Row],[fecha_ultimo_movimiento]]&gt;360,"Inactivo","Activo")</f>
        <v>Inactivo</v>
      </c>
      <c r="M694" s="24">
        <f>+VLOOKUP(ICETEX[[#This Row],[fecha_ultimo_movimiento]],UVR!A:B,2,0)</f>
        <v>275.92380000000003</v>
      </c>
      <c r="N694" s="24">
        <v>71</v>
      </c>
      <c r="O694" t="s">
        <v>3265</v>
      </c>
    </row>
    <row r="695" spans="1:15" ht="15" thickBot="1">
      <c r="A695" s="6">
        <v>694</v>
      </c>
      <c r="B695" s="1" t="s">
        <v>2322</v>
      </c>
      <c r="C695" s="1" t="s">
        <v>2323</v>
      </c>
      <c r="D695" s="2">
        <v>65200515</v>
      </c>
      <c r="E695" s="1" t="s">
        <v>12</v>
      </c>
      <c r="F695" s="25">
        <v>140716.51</v>
      </c>
      <c r="G695" s="4">
        <v>45524</v>
      </c>
      <c r="H695" s="4">
        <v>43043</v>
      </c>
      <c r="I695" s="1" t="s">
        <v>2324</v>
      </c>
      <c r="J695" s="7" t="s">
        <v>2325</v>
      </c>
      <c r="K695" s="17">
        <v>313</v>
      </c>
      <c r="L695" t="str">
        <f ca="1">+IF(TODAY()-ICETEX[[#This Row],[fecha_ultimo_movimiento]]&gt;360,"Inactivo","Activo")</f>
        <v>Activo</v>
      </c>
      <c r="M695" s="24">
        <f>+VLOOKUP(ICETEX[[#This Row],[fecha_ultimo_movimiento]],UVR!A:B,2,0)</f>
        <v>375.21080000000001</v>
      </c>
      <c r="N695" s="24">
        <v>375</v>
      </c>
      <c r="O695" t="s">
        <v>3264</v>
      </c>
    </row>
    <row r="696" spans="1:15" ht="15" thickBot="1">
      <c r="A696" s="6">
        <v>695</v>
      </c>
      <c r="B696" s="1" t="s">
        <v>2326</v>
      </c>
      <c r="C696" s="1" t="s">
        <v>2327</v>
      </c>
      <c r="D696" s="2">
        <v>64208437</v>
      </c>
      <c r="E696" s="1" t="s">
        <v>12</v>
      </c>
      <c r="F696" s="25">
        <v>39765.01</v>
      </c>
      <c r="G696" s="4">
        <v>44017</v>
      </c>
      <c r="H696" s="4">
        <v>43154</v>
      </c>
      <c r="I696" s="1" t="s">
        <v>2328</v>
      </c>
      <c r="J696" s="8" t="s">
        <v>2329</v>
      </c>
      <c r="K696" s="17">
        <v>1820</v>
      </c>
      <c r="L696" t="str">
        <f ca="1">+IF(TODAY()-ICETEX[[#This Row],[fecha_ultimo_movimiento]]&gt;360,"Inactivo","Activo")</f>
        <v>Inactivo</v>
      </c>
      <c r="M696" s="24">
        <f>+VLOOKUP(ICETEX[[#This Row],[fecha_ultimo_movimiento]],UVR!A:B,2,0)</f>
        <v>275.93209999999999</v>
      </c>
      <c r="N696" s="24">
        <v>144</v>
      </c>
      <c r="O696" t="s">
        <v>3265</v>
      </c>
    </row>
    <row r="697" spans="1:15" ht="15" thickBot="1">
      <c r="A697" s="6">
        <v>696</v>
      </c>
      <c r="B697" s="1" t="s">
        <v>2330</v>
      </c>
      <c r="C697" s="1" t="s">
        <v>2331</v>
      </c>
      <c r="D697" s="2">
        <v>21200339</v>
      </c>
      <c r="E697" s="1" t="s">
        <v>45</v>
      </c>
      <c r="F697" s="25">
        <v>48038.15</v>
      </c>
      <c r="G697" s="4">
        <v>45462</v>
      </c>
      <c r="H697" s="4">
        <v>42808</v>
      </c>
      <c r="I697" s="1" t="s">
        <v>762</v>
      </c>
      <c r="J697" s="7" t="s">
        <v>2332</v>
      </c>
      <c r="K697" s="17">
        <v>375</v>
      </c>
      <c r="L697" t="str">
        <f ca="1">+IF(TODAY()-ICETEX[[#This Row],[fecha_ultimo_movimiento]]&gt;360,"Inactivo","Activo")</f>
        <v>Inactivo</v>
      </c>
      <c r="M697" s="24">
        <f>+VLOOKUP(ICETEX[[#This Row],[fecha_ultimo_movimiento]],UVR!A:B,2,0)</f>
        <v>372.50560000000002</v>
      </c>
      <c r="N697" s="24">
        <v>129</v>
      </c>
      <c r="O697" t="s">
        <v>3265</v>
      </c>
    </row>
    <row r="698" spans="1:15" ht="15" thickBot="1">
      <c r="A698" s="6">
        <v>697</v>
      </c>
      <c r="B698" s="1" t="s">
        <v>2333</v>
      </c>
      <c r="C698" s="1" t="s">
        <v>2334</v>
      </c>
      <c r="D698" s="2">
        <v>72401064</v>
      </c>
      <c r="E698" s="1" t="s">
        <v>45</v>
      </c>
      <c r="F698" s="25">
        <v>128228.18</v>
      </c>
      <c r="G698" s="4">
        <v>45057</v>
      </c>
      <c r="H698" s="4">
        <v>42812</v>
      </c>
      <c r="I698" s="1" t="s">
        <v>2335</v>
      </c>
      <c r="J698" s="7" t="s">
        <v>2336</v>
      </c>
      <c r="K698" s="17">
        <v>780</v>
      </c>
      <c r="L698" t="str">
        <f ca="1">+IF(TODAY()-ICETEX[[#This Row],[fecha_ultimo_movimiento]]&gt;360,"Inactivo","Activo")</f>
        <v>Inactivo</v>
      </c>
      <c r="M698" s="24">
        <f>+VLOOKUP(ICETEX[[#This Row],[fecha_ultimo_movimiento]],UVR!A:B,2,0)</f>
        <v>344.24360000000001</v>
      </c>
      <c r="N698" s="24">
        <v>372</v>
      </c>
      <c r="O698" t="s">
        <v>3264</v>
      </c>
    </row>
    <row r="699" spans="1:15" ht="15" thickBot="1">
      <c r="A699" s="6">
        <v>698</v>
      </c>
      <c r="B699" s="1" t="s">
        <v>2337</v>
      </c>
      <c r="C699" s="1" t="s">
        <v>2338</v>
      </c>
      <c r="D699" s="2">
        <v>107004695</v>
      </c>
      <c r="E699" s="1" t="s">
        <v>12</v>
      </c>
      <c r="F699" s="25">
        <v>27174.12</v>
      </c>
      <c r="G699" s="4">
        <v>43851</v>
      </c>
      <c r="H699" s="4">
        <v>42844</v>
      </c>
      <c r="I699" s="1" t="s">
        <v>54</v>
      </c>
      <c r="J699" s="8" t="s">
        <v>2339</v>
      </c>
      <c r="K699" s="17">
        <v>1986</v>
      </c>
      <c r="L699" t="str">
        <f ca="1">+IF(TODAY()-ICETEX[[#This Row],[fecha_ultimo_movimiento]]&gt;360,"Inactivo","Activo")</f>
        <v>Inactivo</v>
      </c>
      <c r="M699" s="24">
        <f>+VLOOKUP(ICETEX[[#This Row],[fecha_ultimo_movimiento]],UVR!A:B,2,0)</f>
        <v>270.98039999999997</v>
      </c>
      <c r="N699" s="24">
        <v>100</v>
      </c>
      <c r="O699" t="s">
        <v>3265</v>
      </c>
    </row>
    <row r="700" spans="1:15" ht="15" thickBot="1">
      <c r="A700" s="6">
        <v>699</v>
      </c>
      <c r="B700" s="1" t="s">
        <v>425</v>
      </c>
      <c r="C700" s="1" t="s">
        <v>2340</v>
      </c>
      <c r="D700" s="2">
        <v>51405670</v>
      </c>
      <c r="E700" s="1" t="s">
        <v>12</v>
      </c>
      <c r="F700" s="25">
        <v>31646.76</v>
      </c>
      <c r="G700" s="4">
        <v>44235</v>
      </c>
      <c r="H700" s="4">
        <v>42626</v>
      </c>
      <c r="I700" s="1" t="s">
        <v>2341</v>
      </c>
      <c r="J700" s="7" t="s">
        <v>2342</v>
      </c>
      <c r="K700" s="17">
        <v>1602</v>
      </c>
      <c r="L700" t="str">
        <f ca="1">+IF(TODAY()-ICETEX[[#This Row],[fecha_ultimo_movimiento]]&gt;360,"Inactivo","Activo")</f>
        <v>Inactivo</v>
      </c>
      <c r="M700" s="24">
        <f>+VLOOKUP(ICETEX[[#This Row],[fecha_ultimo_movimiento]],UVR!A:B,2,0)</f>
        <v>275.6712</v>
      </c>
      <c r="N700" s="24">
        <v>115</v>
      </c>
      <c r="O700" t="s">
        <v>3265</v>
      </c>
    </row>
    <row r="701" spans="1:15" ht="15" thickBot="1">
      <c r="A701" s="6">
        <v>700</v>
      </c>
      <c r="B701" s="1" t="s">
        <v>2343</v>
      </c>
      <c r="C701" s="1" t="s">
        <v>2344</v>
      </c>
      <c r="D701" s="2">
        <v>44015747</v>
      </c>
      <c r="E701" s="1" t="s">
        <v>12</v>
      </c>
      <c r="F701" s="25">
        <v>200431.76</v>
      </c>
      <c r="G701" s="4">
        <v>44957</v>
      </c>
      <c r="H701" s="4">
        <v>43430</v>
      </c>
      <c r="I701" s="1" t="s">
        <v>181</v>
      </c>
      <c r="J701" s="7" t="s">
        <v>2345</v>
      </c>
      <c r="K701" s="17">
        <v>880</v>
      </c>
      <c r="L701" t="str">
        <f ca="1">+IF(TODAY()-ICETEX[[#This Row],[fecha_ultimo_movimiento]]&gt;360,"Inactivo","Activo")</f>
        <v>Inactivo</v>
      </c>
      <c r="M701" s="24">
        <f>+VLOOKUP(ICETEX[[#This Row],[fecha_ultimo_movimiento]],UVR!A:B,2,0)</f>
        <v>327.7106</v>
      </c>
      <c r="N701" s="24">
        <v>612</v>
      </c>
      <c r="O701" t="s">
        <v>3264</v>
      </c>
    </row>
    <row r="702" spans="1:15" ht="15" thickBot="1">
      <c r="A702" s="6">
        <v>701</v>
      </c>
      <c r="B702" s="1" t="s">
        <v>2346</v>
      </c>
      <c r="C702" s="1" t="s">
        <v>2347</v>
      </c>
      <c r="D702" s="2">
        <v>65303069</v>
      </c>
      <c r="E702" s="1" t="s">
        <v>12</v>
      </c>
      <c r="F702" s="25">
        <v>175165.16</v>
      </c>
      <c r="G702" s="4">
        <v>45660</v>
      </c>
      <c r="H702" s="4">
        <v>43157</v>
      </c>
      <c r="I702" s="1" t="s">
        <v>718</v>
      </c>
      <c r="J702" s="7" t="s">
        <v>2348</v>
      </c>
      <c r="K702" s="17">
        <v>177</v>
      </c>
      <c r="L702" t="str">
        <f ca="1">+IF(TODAY()-ICETEX[[#This Row],[fecha_ultimo_movimiento]]&gt;360,"Inactivo","Activo")</f>
        <v>Activo</v>
      </c>
      <c r="M702" s="24">
        <f>+VLOOKUP(ICETEX[[#This Row],[fecha_ultimo_movimiento]],UVR!A:B,2,0)</f>
        <v>376.87459999999999</v>
      </c>
      <c r="N702" s="24">
        <v>465</v>
      </c>
      <c r="O702" t="s">
        <v>3264</v>
      </c>
    </row>
    <row r="703" spans="1:15" ht="15" thickBot="1">
      <c r="A703" s="6">
        <v>702</v>
      </c>
      <c r="B703" s="1" t="s">
        <v>2349</v>
      </c>
      <c r="C703" s="1" t="s">
        <v>2350</v>
      </c>
      <c r="D703" s="2">
        <v>43400036</v>
      </c>
      <c r="E703" s="1" t="s">
        <v>45</v>
      </c>
      <c r="F703" s="25">
        <v>26151.49</v>
      </c>
      <c r="G703" s="4">
        <v>45318</v>
      </c>
      <c r="H703" s="4">
        <v>42576</v>
      </c>
      <c r="I703" s="1" t="s">
        <v>434</v>
      </c>
      <c r="J703" s="7" t="s">
        <v>2351</v>
      </c>
      <c r="K703" s="17">
        <v>519</v>
      </c>
      <c r="L703" t="str">
        <f ca="1">+IF(TODAY()-ICETEX[[#This Row],[fecha_ultimo_movimiento]]&gt;360,"Inactivo","Activo")</f>
        <v>Inactivo</v>
      </c>
      <c r="M703" s="24">
        <f>+VLOOKUP(ICETEX[[#This Row],[fecha_ultimo_movimiento]],UVR!A:B,2,0)</f>
        <v>359.2688</v>
      </c>
      <c r="N703" s="24">
        <v>73</v>
      </c>
      <c r="O703" t="s">
        <v>3265</v>
      </c>
    </row>
    <row r="704" spans="1:15" ht="15" thickBot="1">
      <c r="A704" s="6">
        <v>703</v>
      </c>
      <c r="B704" s="1" t="s">
        <v>2352</v>
      </c>
      <c r="C704" s="1" t="s">
        <v>2353</v>
      </c>
      <c r="D704" s="2">
        <v>74913660</v>
      </c>
      <c r="E704" s="1" t="s">
        <v>45</v>
      </c>
      <c r="F704" s="25">
        <v>146904.15</v>
      </c>
      <c r="G704" s="4">
        <v>45561</v>
      </c>
      <c r="H704" s="4">
        <v>42407</v>
      </c>
      <c r="I704" s="1" t="s">
        <v>181</v>
      </c>
      <c r="J704" s="7" t="s">
        <v>2354</v>
      </c>
      <c r="K704" s="17">
        <v>276</v>
      </c>
      <c r="L704" t="str">
        <f ca="1">+IF(TODAY()-ICETEX[[#This Row],[fecha_ultimo_movimiento]]&gt;360,"Inactivo","Activo")</f>
        <v>Activo</v>
      </c>
      <c r="M704" s="24">
        <f>+VLOOKUP(ICETEX[[#This Row],[fecha_ultimo_movimiento]],UVR!A:B,2,0)</f>
        <v>375.84010000000001</v>
      </c>
      <c r="N704" s="24">
        <v>391</v>
      </c>
      <c r="O704" t="s">
        <v>3264</v>
      </c>
    </row>
    <row r="705" spans="1:15" ht="15" thickBot="1">
      <c r="A705" s="6">
        <v>704</v>
      </c>
      <c r="B705" s="1" t="s">
        <v>2355</v>
      </c>
      <c r="C705" s="1" t="s">
        <v>2356</v>
      </c>
      <c r="D705" s="2">
        <v>72410123</v>
      </c>
      <c r="E705" s="1" t="s">
        <v>12</v>
      </c>
      <c r="F705" s="25">
        <v>111831.49</v>
      </c>
      <c r="G705" s="4">
        <v>44818</v>
      </c>
      <c r="H705" s="4">
        <v>42557</v>
      </c>
      <c r="I705" s="1" t="s">
        <v>1014</v>
      </c>
      <c r="J705" s="7" t="s">
        <v>2357</v>
      </c>
      <c r="K705" s="17">
        <v>1019</v>
      </c>
      <c r="L705" t="str">
        <f ca="1">+IF(TODAY()-ICETEX[[#This Row],[fecha_ultimo_movimiento]]&gt;360,"Inactivo","Activo")</f>
        <v>Inactivo</v>
      </c>
      <c r="M705" s="24">
        <f>+VLOOKUP(ICETEX[[#This Row],[fecha_ultimo_movimiento]],UVR!A:B,2,0)</f>
        <v>314.55459999999999</v>
      </c>
      <c r="N705" s="24">
        <v>356</v>
      </c>
      <c r="O705" t="s">
        <v>3264</v>
      </c>
    </row>
    <row r="706" spans="1:15" ht="15" thickBot="1">
      <c r="A706" s="6">
        <v>705</v>
      </c>
      <c r="B706" s="1" t="s">
        <v>2358</v>
      </c>
      <c r="C706" s="1" t="s">
        <v>2359</v>
      </c>
      <c r="D706" s="2">
        <v>102300268</v>
      </c>
      <c r="E706" s="1" t="s">
        <v>12</v>
      </c>
      <c r="F706" s="25">
        <v>45487.5</v>
      </c>
      <c r="G706" s="4">
        <v>44105</v>
      </c>
      <c r="H706" s="4">
        <v>43088</v>
      </c>
      <c r="I706" s="1" t="s">
        <v>2105</v>
      </c>
      <c r="J706" s="7" t="s">
        <v>2360</v>
      </c>
      <c r="K706" s="17">
        <v>1732</v>
      </c>
      <c r="L706" t="str">
        <f ca="1">+IF(TODAY()-ICETEX[[#This Row],[fecha_ultimo_movimiento]]&gt;360,"Inactivo","Activo")</f>
        <v>Inactivo</v>
      </c>
      <c r="M706" s="24">
        <f>+VLOOKUP(ICETEX[[#This Row],[fecha_ultimo_movimiento]],UVR!A:B,2,0)</f>
        <v>274.5754</v>
      </c>
      <c r="N706" s="24">
        <v>166</v>
      </c>
      <c r="O706" t="s">
        <v>3265</v>
      </c>
    </row>
    <row r="707" spans="1:15" ht="15" thickBot="1">
      <c r="A707" s="6">
        <v>706</v>
      </c>
      <c r="B707" s="1" t="s">
        <v>2361</v>
      </c>
      <c r="C707" s="1" t="s">
        <v>2362</v>
      </c>
      <c r="D707" s="2">
        <v>71905613</v>
      </c>
      <c r="E707" s="1" t="s">
        <v>12</v>
      </c>
      <c r="F707" s="25">
        <v>102542.44</v>
      </c>
      <c r="G707" s="4">
        <v>45017</v>
      </c>
      <c r="H707" s="4">
        <v>43089</v>
      </c>
      <c r="I707" s="1" t="s">
        <v>1767</v>
      </c>
      <c r="J707" s="7" t="s">
        <v>2363</v>
      </c>
      <c r="K707" s="17">
        <v>820</v>
      </c>
      <c r="L707" t="str">
        <f ca="1">+IF(TODAY()-ICETEX[[#This Row],[fecha_ultimo_movimiento]]&gt;360,"Inactivo","Activo")</f>
        <v>Inactivo</v>
      </c>
      <c r="M707" s="24">
        <f>+VLOOKUP(ICETEX[[#This Row],[fecha_ultimo_movimiento]],UVR!A:B,2,0)</f>
        <v>338.61430000000001</v>
      </c>
      <c r="N707" s="24">
        <v>303</v>
      </c>
      <c r="O707" t="s">
        <v>3265</v>
      </c>
    </row>
    <row r="708" spans="1:15" ht="15" thickBot="1">
      <c r="A708" s="6">
        <v>707</v>
      </c>
      <c r="B708" s="1" t="s">
        <v>2364</v>
      </c>
      <c r="C708" s="1" t="s">
        <v>2365</v>
      </c>
      <c r="D708" s="2">
        <v>86300041</v>
      </c>
      <c r="E708" s="1" t="s">
        <v>45</v>
      </c>
      <c r="F708" s="25">
        <v>148069.37</v>
      </c>
      <c r="G708" s="4">
        <v>45070</v>
      </c>
      <c r="H708" s="4">
        <v>42701</v>
      </c>
      <c r="I708" s="1" t="s">
        <v>131</v>
      </c>
      <c r="J708" s="7" t="s">
        <v>2366</v>
      </c>
      <c r="K708" s="17">
        <v>767</v>
      </c>
      <c r="L708" t="str">
        <f ca="1">+IF(TODAY()-ICETEX[[#This Row],[fecha_ultimo_movimiento]]&gt;360,"Inactivo","Activo")</f>
        <v>Inactivo</v>
      </c>
      <c r="M708" s="24">
        <f>+VLOOKUP(ICETEX[[#This Row],[fecha_ultimo_movimiento]],UVR!A:B,2,0)</f>
        <v>345.50189999999998</v>
      </c>
      <c r="N708" s="24">
        <v>429</v>
      </c>
      <c r="O708" t="s">
        <v>3264</v>
      </c>
    </row>
    <row r="709" spans="1:15" ht="15" thickBot="1">
      <c r="A709" s="6">
        <v>708</v>
      </c>
      <c r="B709" s="1" t="s">
        <v>2367</v>
      </c>
      <c r="C709" s="1" t="s">
        <v>2368</v>
      </c>
      <c r="D709" s="2">
        <v>121143697</v>
      </c>
      <c r="E709" s="1" t="s">
        <v>12</v>
      </c>
      <c r="F709" s="25">
        <v>22495.64</v>
      </c>
      <c r="G709" s="4">
        <v>45461</v>
      </c>
      <c r="H709" s="4">
        <v>42490</v>
      </c>
      <c r="I709" s="1" t="s">
        <v>1622</v>
      </c>
      <c r="J709" s="8" t="s">
        <v>2369</v>
      </c>
      <c r="K709" s="17">
        <v>376</v>
      </c>
      <c r="L709" t="str">
        <f ca="1">+IF(TODAY()-ICETEX[[#This Row],[fecha_ultimo_movimiento]]&gt;360,"Inactivo","Activo")</f>
        <v>Inactivo</v>
      </c>
      <c r="M709" s="24">
        <f>+VLOOKUP(ICETEX[[#This Row],[fecha_ultimo_movimiento]],UVR!A:B,2,0)</f>
        <v>372.45229999999998</v>
      </c>
      <c r="N709" s="24">
        <v>60</v>
      </c>
      <c r="O709" t="s">
        <v>3265</v>
      </c>
    </row>
    <row r="710" spans="1:15" ht="15" thickBot="1">
      <c r="A710" s="6">
        <v>709</v>
      </c>
      <c r="B710" s="1" t="s">
        <v>2370</v>
      </c>
      <c r="C710" s="1" t="s">
        <v>2371</v>
      </c>
      <c r="D710" s="2">
        <v>111904150</v>
      </c>
      <c r="E710" s="1" t="s">
        <v>12</v>
      </c>
      <c r="F710" s="25">
        <v>95093.94</v>
      </c>
      <c r="G710" s="4">
        <v>45493</v>
      </c>
      <c r="H710" s="4">
        <v>42719</v>
      </c>
      <c r="I710" s="1" t="s">
        <v>2372</v>
      </c>
      <c r="J710" s="7" t="s">
        <v>2373</v>
      </c>
      <c r="K710" s="17">
        <v>344</v>
      </c>
      <c r="L710" t="str">
        <f ca="1">+IF(TODAY()-ICETEX[[#This Row],[fecha_ultimo_movimiento]]&gt;360,"Inactivo","Activo")</f>
        <v>Activo</v>
      </c>
      <c r="M710" s="24">
        <f>+VLOOKUP(ICETEX[[#This Row],[fecha_ultimo_movimiento]],UVR!A:B,2,0)</f>
        <v>374.08609999999999</v>
      </c>
      <c r="N710" s="24">
        <v>254</v>
      </c>
      <c r="O710" t="s">
        <v>3264</v>
      </c>
    </row>
    <row r="711" spans="1:15" ht="15" thickBot="1">
      <c r="A711" s="6">
        <v>710</v>
      </c>
      <c r="B711" s="1" t="s">
        <v>2374</v>
      </c>
      <c r="C711" s="1" t="s">
        <v>2375</v>
      </c>
      <c r="D711" s="2">
        <v>123006389</v>
      </c>
      <c r="E711" s="1" t="s">
        <v>45</v>
      </c>
      <c r="F711" s="25">
        <v>92531.13</v>
      </c>
      <c r="G711" s="4">
        <v>44560</v>
      </c>
      <c r="H711" s="4">
        <v>42502</v>
      </c>
      <c r="I711" s="1" t="s">
        <v>1035</v>
      </c>
      <c r="J711" s="7" t="s">
        <v>2376</v>
      </c>
      <c r="K711" s="17">
        <v>1277</v>
      </c>
      <c r="L711" t="str">
        <f ca="1">+IF(TODAY()-ICETEX[[#This Row],[fecha_ultimo_movimiento]]&gt;360,"Inactivo","Activo")</f>
        <v>Inactivo</v>
      </c>
      <c r="M711" s="24">
        <f>+VLOOKUP(ICETEX[[#This Row],[fecha_ultimo_movimiento]],UVR!A:B,2,0)</f>
        <v>288.5727</v>
      </c>
      <c r="N711" s="24">
        <v>321</v>
      </c>
      <c r="O711" t="s">
        <v>3265</v>
      </c>
    </row>
    <row r="712" spans="1:15" ht="15" thickBot="1">
      <c r="A712" s="6">
        <v>711</v>
      </c>
      <c r="B712" s="1" t="s">
        <v>2377</v>
      </c>
      <c r="C712" s="1" t="s">
        <v>2378</v>
      </c>
      <c r="D712" s="2">
        <v>125200060</v>
      </c>
      <c r="E712" s="1" t="s">
        <v>45</v>
      </c>
      <c r="F712" s="25">
        <v>35245.57</v>
      </c>
      <c r="G712" s="4">
        <v>44811</v>
      </c>
      <c r="H712" s="4">
        <v>43137</v>
      </c>
      <c r="I712" s="1" t="s">
        <v>2379</v>
      </c>
      <c r="J712" s="7" t="s">
        <v>2380</v>
      </c>
      <c r="K712" s="17">
        <v>1026</v>
      </c>
      <c r="L712" t="str">
        <f ca="1">+IF(TODAY()-ICETEX[[#This Row],[fecha_ultimo_movimiento]]&gt;360,"Inactivo","Activo")</f>
        <v>Inactivo</v>
      </c>
      <c r="M712" s="24">
        <f>+VLOOKUP(ICETEX[[#This Row],[fecha_ultimo_movimiento]],UVR!A:B,2,0)</f>
        <v>313.9821</v>
      </c>
      <c r="N712" s="24">
        <v>112</v>
      </c>
      <c r="O712" t="s">
        <v>3265</v>
      </c>
    </row>
    <row r="713" spans="1:15" ht="15" thickBot="1">
      <c r="A713" s="6">
        <v>712</v>
      </c>
      <c r="B713" s="1" t="s">
        <v>2381</v>
      </c>
      <c r="C713" s="1" t="s">
        <v>2382</v>
      </c>
      <c r="D713" s="2">
        <v>75900986</v>
      </c>
      <c r="E713" s="1" t="s">
        <v>45</v>
      </c>
      <c r="F713" s="25">
        <v>142876.67000000001</v>
      </c>
      <c r="G713" s="4">
        <v>44113</v>
      </c>
      <c r="H713" s="4">
        <v>43179</v>
      </c>
      <c r="I713" s="1" t="s">
        <v>427</v>
      </c>
      <c r="J713" s="7" t="s">
        <v>2383</v>
      </c>
      <c r="K713" s="17">
        <v>1724</v>
      </c>
      <c r="L713" t="str">
        <f ca="1">+IF(TODAY()-ICETEX[[#This Row],[fecha_ultimo_movimiento]]&gt;360,"Inactivo","Activo")</f>
        <v>Inactivo</v>
      </c>
      <c r="M713" s="24">
        <f>+VLOOKUP(ICETEX[[#This Row],[fecha_ultimo_movimiento]],UVR!A:B,2,0)</f>
        <v>274.56799999999998</v>
      </c>
      <c r="N713" s="24">
        <v>520</v>
      </c>
      <c r="O713" t="s">
        <v>3264</v>
      </c>
    </row>
    <row r="714" spans="1:15" ht="15" thickBot="1">
      <c r="A714" s="6">
        <v>713</v>
      </c>
      <c r="B714" s="1" t="s">
        <v>2384</v>
      </c>
      <c r="C714" s="1" t="s">
        <v>2385</v>
      </c>
      <c r="D714" s="2">
        <v>72402076</v>
      </c>
      <c r="E714" s="1" t="s">
        <v>45</v>
      </c>
      <c r="F714" s="25">
        <v>215956.05</v>
      </c>
      <c r="G714" s="4">
        <v>44716</v>
      </c>
      <c r="H714" s="4">
        <v>43231</v>
      </c>
      <c r="I714" s="1" t="s">
        <v>1374</v>
      </c>
      <c r="J714" s="7" t="s">
        <v>2386</v>
      </c>
      <c r="K714" s="17">
        <v>1121</v>
      </c>
      <c r="L714" t="str">
        <f ca="1">+IF(TODAY()-ICETEX[[#This Row],[fecha_ultimo_movimiento]]&gt;360,"Inactivo","Activo")</f>
        <v>Inactivo</v>
      </c>
      <c r="M714" s="24">
        <f>+VLOOKUP(ICETEX[[#This Row],[fecha_ultimo_movimiento]],UVR!A:B,2,0)</f>
        <v>306.58359999999999</v>
      </c>
      <c r="N714" s="24">
        <v>704</v>
      </c>
      <c r="O714" t="s">
        <v>3264</v>
      </c>
    </row>
    <row r="715" spans="1:15" ht="15" thickBot="1">
      <c r="A715" s="6">
        <v>714</v>
      </c>
      <c r="B715" s="1" t="s">
        <v>2387</v>
      </c>
      <c r="C715" s="1" t="s">
        <v>2388</v>
      </c>
      <c r="D715" s="2">
        <v>67012413</v>
      </c>
      <c r="E715" s="1" t="s">
        <v>12</v>
      </c>
      <c r="F715" s="25">
        <v>124290.34</v>
      </c>
      <c r="G715" s="4">
        <v>45029</v>
      </c>
      <c r="H715" s="4">
        <v>42826</v>
      </c>
      <c r="I715" s="1" t="s">
        <v>629</v>
      </c>
      <c r="J715" s="7" t="s">
        <v>2389</v>
      </c>
      <c r="K715" s="17">
        <v>808</v>
      </c>
      <c r="L715" t="str">
        <f ca="1">+IF(TODAY()-ICETEX[[#This Row],[fecha_ultimo_movimiento]]&gt;360,"Inactivo","Activo")</f>
        <v>Inactivo</v>
      </c>
      <c r="M715" s="24">
        <f>+VLOOKUP(ICETEX[[#This Row],[fecha_ultimo_movimiento]],UVR!A:B,2,0)</f>
        <v>340.7792</v>
      </c>
      <c r="N715" s="24">
        <v>365</v>
      </c>
      <c r="O715" t="s">
        <v>3264</v>
      </c>
    </row>
    <row r="716" spans="1:15" ht="15" thickBot="1">
      <c r="A716" s="6">
        <v>715</v>
      </c>
      <c r="B716" s="1" t="s">
        <v>2390</v>
      </c>
      <c r="C716" s="1" t="s">
        <v>2391</v>
      </c>
      <c r="D716" s="2">
        <v>271173452</v>
      </c>
      <c r="E716" s="1" t="s">
        <v>12</v>
      </c>
      <c r="F716" s="25">
        <v>82885.8</v>
      </c>
      <c r="G716" s="4">
        <v>44103</v>
      </c>
      <c r="H716" s="4">
        <v>43368</v>
      </c>
      <c r="I716" s="1" t="s">
        <v>1925</v>
      </c>
      <c r="J716" s="8" t="s">
        <v>2392</v>
      </c>
      <c r="K716" s="17">
        <v>1734</v>
      </c>
      <c r="L716" t="str">
        <f ca="1">+IF(TODAY()-ICETEX[[#This Row],[fecha_ultimo_movimiento]]&gt;360,"Inactivo","Activo")</f>
        <v>Inactivo</v>
      </c>
      <c r="M716" s="24">
        <f>+VLOOKUP(ICETEX[[#This Row],[fecha_ultimo_movimiento]],UVR!A:B,2,0)</f>
        <v>274.5772</v>
      </c>
      <c r="N716" s="24">
        <v>302</v>
      </c>
      <c r="O716" t="s">
        <v>3265</v>
      </c>
    </row>
    <row r="717" spans="1:15" ht="15" thickBot="1">
      <c r="A717" s="6">
        <v>716</v>
      </c>
      <c r="B717" s="1" t="s">
        <v>2393</v>
      </c>
      <c r="C717" s="1" t="s">
        <v>2394</v>
      </c>
      <c r="D717" s="2">
        <v>221572838</v>
      </c>
      <c r="E717" s="1" t="s">
        <v>45</v>
      </c>
      <c r="F717" s="25">
        <v>50058.51</v>
      </c>
      <c r="G717" s="4">
        <v>44782</v>
      </c>
      <c r="H717" s="4">
        <v>43178</v>
      </c>
      <c r="I717" s="1" t="s">
        <v>1198</v>
      </c>
      <c r="J717" s="7" t="s">
        <v>2395</v>
      </c>
      <c r="K717" s="17">
        <v>1055</v>
      </c>
      <c r="L717" t="str">
        <f ca="1">+IF(TODAY()-ICETEX[[#This Row],[fecha_ultimo_movimiento]]&gt;360,"Inactivo","Activo")</f>
        <v>Inactivo</v>
      </c>
      <c r="M717" s="24">
        <f>+VLOOKUP(ICETEX[[#This Row],[fecha_ultimo_movimiento]],UVR!A:B,2,0)</f>
        <v>311.80119999999999</v>
      </c>
      <c r="N717" s="24">
        <v>161</v>
      </c>
      <c r="O717" t="s">
        <v>3265</v>
      </c>
    </row>
    <row r="718" spans="1:15" ht="15" thickBot="1">
      <c r="A718" s="6">
        <v>717</v>
      </c>
      <c r="B718" s="1" t="s">
        <v>2396</v>
      </c>
      <c r="C718" s="1" t="s">
        <v>2397</v>
      </c>
      <c r="D718" s="2">
        <v>91212179</v>
      </c>
      <c r="E718" s="1" t="s">
        <v>45</v>
      </c>
      <c r="F718" s="25">
        <v>144011.38</v>
      </c>
      <c r="G718" s="4">
        <v>45139</v>
      </c>
      <c r="H718" s="4">
        <v>43108</v>
      </c>
      <c r="I718" s="1" t="s">
        <v>2398</v>
      </c>
      <c r="J718" s="7" t="s">
        <v>2399</v>
      </c>
      <c r="K718" s="17">
        <v>698</v>
      </c>
      <c r="L718" t="str">
        <f ca="1">+IF(TODAY()-ICETEX[[#This Row],[fecha_ultimo_movimiento]]&gt;360,"Inactivo","Activo")</f>
        <v>Inactivo</v>
      </c>
      <c r="M718" s="24">
        <f>+VLOOKUP(ICETEX[[#This Row],[fecha_ultimo_movimiento]],UVR!A:B,2,0)</f>
        <v>349.47969999999998</v>
      </c>
      <c r="N718" s="24">
        <v>412</v>
      </c>
      <c r="O718" t="s">
        <v>3264</v>
      </c>
    </row>
    <row r="719" spans="1:15" ht="15" thickBot="1">
      <c r="A719" s="6">
        <v>718</v>
      </c>
      <c r="B719" s="1" t="s">
        <v>2400</v>
      </c>
      <c r="C719" s="1" t="s">
        <v>2401</v>
      </c>
      <c r="D719" s="2">
        <v>101113676</v>
      </c>
      <c r="E719" s="1" t="s">
        <v>45</v>
      </c>
      <c r="F719" s="25">
        <v>97712.67</v>
      </c>
      <c r="G719" s="4">
        <v>43994</v>
      </c>
      <c r="H719" s="4">
        <v>42817</v>
      </c>
      <c r="I719" s="1" t="s">
        <v>2402</v>
      </c>
      <c r="J719" s="7" t="s">
        <v>2403</v>
      </c>
      <c r="K719" s="17">
        <v>1843</v>
      </c>
      <c r="L719" t="str">
        <f ca="1">+IF(TODAY()-ICETEX[[#This Row],[fecha_ultimo_movimiento]]&gt;360,"Inactivo","Activo")</f>
        <v>Inactivo</v>
      </c>
      <c r="M719" s="24">
        <f>+VLOOKUP(ICETEX[[#This Row],[fecha_ultimo_movimiento]],UVR!A:B,2,0)</f>
        <v>276.4796</v>
      </c>
      <c r="N719" s="24">
        <v>353</v>
      </c>
      <c r="O719" t="s">
        <v>3264</v>
      </c>
    </row>
    <row r="720" spans="1:15" ht="15" thickBot="1">
      <c r="A720" s="6">
        <v>719</v>
      </c>
      <c r="B720" s="1" t="s">
        <v>2404</v>
      </c>
      <c r="C720" s="1" t="s">
        <v>2405</v>
      </c>
      <c r="D720" s="2">
        <v>42200279</v>
      </c>
      <c r="E720" s="1" t="s">
        <v>45</v>
      </c>
      <c r="F720" s="25">
        <v>194732.14</v>
      </c>
      <c r="G720" s="4">
        <v>44224</v>
      </c>
      <c r="H720" s="4">
        <v>42532</v>
      </c>
      <c r="I720" s="1" t="s">
        <v>538</v>
      </c>
      <c r="J720" s="7" t="s">
        <v>2406</v>
      </c>
      <c r="K720" s="17">
        <v>1613</v>
      </c>
      <c r="L720" t="str">
        <f ca="1">+IF(TODAY()-ICETEX[[#This Row],[fecha_ultimo_movimiento]]&gt;360,"Inactivo","Activo")</f>
        <v>Inactivo</v>
      </c>
      <c r="M720" s="24">
        <f>+VLOOKUP(ICETEX[[#This Row],[fecha_ultimo_movimiento]],UVR!A:B,2,0)</f>
        <v>275.30040000000002</v>
      </c>
      <c r="N720" s="24">
        <v>707</v>
      </c>
      <c r="O720" t="s">
        <v>3264</v>
      </c>
    </row>
    <row r="721" spans="1:15" ht="15" thickBot="1">
      <c r="A721" s="6">
        <v>720</v>
      </c>
      <c r="B721" s="1" t="s">
        <v>2407</v>
      </c>
      <c r="C721" s="1" t="s">
        <v>2408</v>
      </c>
      <c r="D721" s="2">
        <v>11000138</v>
      </c>
      <c r="E721" s="1" t="s">
        <v>12</v>
      </c>
      <c r="F721" s="25">
        <v>186379.31</v>
      </c>
      <c r="G721" s="4">
        <v>44680</v>
      </c>
      <c r="H721" s="4">
        <v>43211</v>
      </c>
      <c r="I721" s="1" t="s">
        <v>762</v>
      </c>
      <c r="J721" s="7" t="s">
        <v>2409</v>
      </c>
      <c r="K721" s="17">
        <v>1157</v>
      </c>
      <c r="L721" t="str">
        <f ca="1">+IF(TODAY()-ICETEX[[#This Row],[fecha_ultimo_movimiento]]&gt;360,"Inactivo","Activo")</f>
        <v>Inactivo</v>
      </c>
      <c r="M721" s="24">
        <f>+VLOOKUP(ICETEX[[#This Row],[fecha_ultimo_movimiento]],UVR!A:B,2,0)</f>
        <v>302.5265</v>
      </c>
      <c r="N721" s="24">
        <v>616</v>
      </c>
      <c r="O721" t="s">
        <v>3264</v>
      </c>
    </row>
    <row r="722" spans="1:15" ht="15" thickBot="1">
      <c r="A722" s="6">
        <v>721</v>
      </c>
      <c r="B722" s="1" t="s">
        <v>2207</v>
      </c>
      <c r="C722" s="1" t="s">
        <v>2410</v>
      </c>
      <c r="D722" s="2">
        <v>65301155</v>
      </c>
      <c r="E722" s="1" t="s">
        <v>12</v>
      </c>
      <c r="F722" s="25">
        <v>129594.66</v>
      </c>
      <c r="G722" s="4">
        <v>43964</v>
      </c>
      <c r="H722" s="4">
        <v>42980</v>
      </c>
      <c r="I722" s="1" t="s">
        <v>25</v>
      </c>
      <c r="J722" s="8" t="s">
        <v>2411</v>
      </c>
      <c r="K722" s="17">
        <v>1873</v>
      </c>
      <c r="L722" t="str">
        <f ca="1">+IF(TODAY()-ICETEX[[#This Row],[fecha_ultimo_movimiento]]&gt;360,"Inactivo","Activo")</f>
        <v>Inactivo</v>
      </c>
      <c r="M722" s="24">
        <f>+VLOOKUP(ICETEX[[#This Row],[fecha_ultimo_movimiento]],UVR!A:B,2,0)</f>
        <v>275.976</v>
      </c>
      <c r="N722" s="24">
        <v>470</v>
      </c>
      <c r="O722" t="s">
        <v>3264</v>
      </c>
    </row>
    <row r="723" spans="1:15" ht="15" thickBot="1">
      <c r="A723" s="6">
        <v>722</v>
      </c>
      <c r="B723" s="1" t="s">
        <v>2412</v>
      </c>
      <c r="C723" s="1" t="s">
        <v>2413</v>
      </c>
      <c r="D723" s="2">
        <v>21913655</v>
      </c>
      <c r="E723" s="1" t="s">
        <v>12</v>
      </c>
      <c r="F723" s="25">
        <v>207247.91</v>
      </c>
      <c r="G723" s="4">
        <v>45632</v>
      </c>
      <c r="H723" s="4">
        <v>42398</v>
      </c>
      <c r="I723" s="1" t="s">
        <v>84</v>
      </c>
      <c r="J723" s="7" t="s">
        <v>2414</v>
      </c>
      <c r="K723" s="17">
        <v>205</v>
      </c>
      <c r="L723" t="str">
        <f ca="1">+IF(TODAY()-ICETEX[[#This Row],[fecha_ultimo_movimiento]]&gt;360,"Inactivo","Activo")</f>
        <v>Activo</v>
      </c>
      <c r="M723" s="24">
        <f>+VLOOKUP(ICETEX[[#This Row],[fecha_ultimo_movimiento]],UVR!A:B,2,0)</f>
        <v>376.39920000000001</v>
      </c>
      <c r="N723" s="24">
        <v>551</v>
      </c>
      <c r="O723" t="s">
        <v>3264</v>
      </c>
    </row>
    <row r="724" spans="1:15" ht="15" thickBot="1">
      <c r="A724" s="6">
        <v>723</v>
      </c>
      <c r="B724" s="1" t="s">
        <v>2415</v>
      </c>
      <c r="C724" s="1" t="s">
        <v>2416</v>
      </c>
      <c r="D724" s="2">
        <v>104900721</v>
      </c>
      <c r="E724" s="1" t="s">
        <v>12</v>
      </c>
      <c r="F724" s="25">
        <v>144090.35</v>
      </c>
      <c r="G724" s="4">
        <v>45326</v>
      </c>
      <c r="H724" s="4">
        <v>42515</v>
      </c>
      <c r="I724" s="1" t="s">
        <v>1767</v>
      </c>
      <c r="J724" s="7" t="s">
        <v>2417</v>
      </c>
      <c r="K724" s="17">
        <v>511</v>
      </c>
      <c r="L724" t="str">
        <f ca="1">+IF(TODAY()-ICETEX[[#This Row],[fecha_ultimo_movimiento]]&gt;360,"Inactivo","Activo")</f>
        <v>Inactivo</v>
      </c>
      <c r="M724" s="24">
        <f>+VLOOKUP(ICETEX[[#This Row],[fecha_ultimo_movimiento]],UVR!A:B,2,0)</f>
        <v>359.68529999999998</v>
      </c>
      <c r="N724" s="24">
        <v>401</v>
      </c>
      <c r="O724" t="s">
        <v>3264</v>
      </c>
    </row>
    <row r="725" spans="1:15" ht="15" thickBot="1">
      <c r="A725" s="6">
        <v>724</v>
      </c>
      <c r="B725" s="1" t="s">
        <v>2418</v>
      </c>
      <c r="C725" s="1" t="s">
        <v>2419</v>
      </c>
      <c r="D725" s="2">
        <v>103112507</v>
      </c>
      <c r="E725" s="1" t="s">
        <v>45</v>
      </c>
      <c r="F725" s="25">
        <v>53972.6</v>
      </c>
      <c r="G725" s="4">
        <v>44444</v>
      </c>
      <c r="H725" s="4">
        <v>43304</v>
      </c>
      <c r="I725" s="1" t="s">
        <v>2420</v>
      </c>
      <c r="J725" s="7" t="s">
        <v>2421</v>
      </c>
      <c r="K725" s="17">
        <v>1393</v>
      </c>
      <c r="L725" t="str">
        <f ca="1">+IF(TODAY()-ICETEX[[#This Row],[fecha_ultimo_movimiento]]&gt;360,"Inactivo","Activo")</f>
        <v>Inactivo</v>
      </c>
      <c r="M725" s="24">
        <f>+VLOOKUP(ICETEX[[#This Row],[fecha_ultimo_movimiento]],UVR!A:B,2,0)</f>
        <v>285.17989999999998</v>
      </c>
      <c r="N725" s="24">
        <v>189</v>
      </c>
      <c r="O725" t="s">
        <v>3265</v>
      </c>
    </row>
    <row r="726" spans="1:15" ht="15" thickBot="1">
      <c r="A726" s="6">
        <v>725</v>
      </c>
      <c r="B726" s="1" t="s">
        <v>2422</v>
      </c>
      <c r="C726" s="1" t="s">
        <v>2423</v>
      </c>
      <c r="D726" s="2">
        <v>82903293</v>
      </c>
      <c r="E726" s="1" t="s">
        <v>12</v>
      </c>
      <c r="F726" s="25">
        <v>14231.51</v>
      </c>
      <c r="G726" s="4">
        <v>43912</v>
      </c>
      <c r="H726" s="4">
        <v>42718</v>
      </c>
      <c r="I726" s="1" t="s">
        <v>1351</v>
      </c>
      <c r="J726" s="7" t="s">
        <v>2424</v>
      </c>
      <c r="K726" s="17">
        <v>1925</v>
      </c>
      <c r="L726" t="str">
        <f ca="1">+IF(TODAY()-ICETEX[[#This Row],[fecha_ultimo_movimiento]]&gt;360,"Inactivo","Activo")</f>
        <v>Inactivo</v>
      </c>
      <c r="M726" s="24">
        <f>+VLOOKUP(ICETEX[[#This Row],[fecha_ultimo_movimiento]],UVR!A:B,2,0)</f>
        <v>273.10039999999998</v>
      </c>
      <c r="N726" s="24">
        <v>52</v>
      </c>
      <c r="O726" t="s">
        <v>3265</v>
      </c>
    </row>
    <row r="727" spans="1:15" ht="15" thickBot="1">
      <c r="A727" s="6">
        <v>726</v>
      </c>
      <c r="B727" s="1" t="s">
        <v>2425</v>
      </c>
      <c r="C727" s="1" t="s">
        <v>2426</v>
      </c>
      <c r="D727" s="2">
        <v>101918965</v>
      </c>
      <c r="E727" s="1" t="s">
        <v>12</v>
      </c>
      <c r="F727" s="25">
        <v>57017.33</v>
      </c>
      <c r="G727" s="4">
        <v>45092</v>
      </c>
      <c r="H727" s="4">
        <v>43168</v>
      </c>
      <c r="I727" s="1" t="s">
        <v>13</v>
      </c>
      <c r="J727" s="7" t="s">
        <v>2427</v>
      </c>
      <c r="K727" s="17">
        <v>745</v>
      </c>
      <c r="L727" t="str">
        <f ca="1">+IF(TODAY()-ICETEX[[#This Row],[fecha_ultimo_movimiento]]&gt;360,"Inactivo","Activo")</f>
        <v>Inactivo</v>
      </c>
      <c r="M727" s="24">
        <f>+VLOOKUP(ICETEX[[#This Row],[fecha_ultimo_movimiento]],UVR!A:B,2,0)</f>
        <v>347.41219999999998</v>
      </c>
      <c r="N727" s="24">
        <v>164</v>
      </c>
      <c r="O727" t="s">
        <v>3265</v>
      </c>
    </row>
    <row r="728" spans="1:15" ht="15" thickBot="1">
      <c r="A728" s="6">
        <v>727</v>
      </c>
      <c r="B728" s="1" t="s">
        <v>2428</v>
      </c>
      <c r="C728" s="1" t="s">
        <v>2429</v>
      </c>
      <c r="D728" s="2">
        <v>124001545</v>
      </c>
      <c r="E728" s="1" t="s">
        <v>12</v>
      </c>
      <c r="F728" s="25">
        <v>133060.1</v>
      </c>
      <c r="G728" s="4">
        <v>44458</v>
      </c>
      <c r="H728" s="4">
        <v>43085</v>
      </c>
      <c r="I728" s="1" t="s">
        <v>383</v>
      </c>
      <c r="J728" s="7" t="s">
        <v>2430</v>
      </c>
      <c r="K728" s="17">
        <v>1379</v>
      </c>
      <c r="L728" t="str">
        <f ca="1">+IF(TODAY()-ICETEX[[#This Row],[fecha_ultimo_movimiento]]&gt;360,"Inactivo","Activo")</f>
        <v>Inactivo</v>
      </c>
      <c r="M728" s="24">
        <f>+VLOOKUP(ICETEX[[#This Row],[fecha_ultimo_movimiento]],UVR!A:B,2,0)</f>
        <v>285.64499999999998</v>
      </c>
      <c r="N728" s="24">
        <v>466</v>
      </c>
      <c r="O728" t="s">
        <v>3264</v>
      </c>
    </row>
    <row r="729" spans="1:15" ht="15" thickBot="1">
      <c r="A729" s="6">
        <v>728</v>
      </c>
      <c r="B729" s="1" t="s">
        <v>2431</v>
      </c>
      <c r="C729" s="1" t="s">
        <v>2432</v>
      </c>
      <c r="D729" s="2">
        <v>53112275</v>
      </c>
      <c r="E729" s="1" t="s">
        <v>12</v>
      </c>
      <c r="F729" s="25">
        <v>48598.35</v>
      </c>
      <c r="G729" s="4">
        <v>45386</v>
      </c>
      <c r="H729" s="4">
        <v>42702</v>
      </c>
      <c r="I729" s="1" t="s">
        <v>88</v>
      </c>
      <c r="J729" s="7" t="s">
        <v>2433</v>
      </c>
      <c r="K729" s="17">
        <v>451</v>
      </c>
      <c r="L729" t="str">
        <f ca="1">+IF(TODAY()-ICETEX[[#This Row],[fecha_ultimo_movimiento]]&gt;360,"Inactivo","Activo")</f>
        <v>Inactivo</v>
      </c>
      <c r="M729" s="24">
        <f>+VLOOKUP(ICETEX[[#This Row],[fecha_ultimo_movimiento]],UVR!A:B,2,0)</f>
        <v>366.125</v>
      </c>
      <c r="N729" s="24">
        <v>133</v>
      </c>
      <c r="O729" t="s">
        <v>3265</v>
      </c>
    </row>
    <row r="730" spans="1:15" ht="15" thickBot="1">
      <c r="A730" s="6">
        <v>729</v>
      </c>
      <c r="B730" s="1" t="s">
        <v>1510</v>
      </c>
      <c r="C730" s="1" t="s">
        <v>2434</v>
      </c>
      <c r="D730" s="2">
        <v>41202113</v>
      </c>
      <c r="E730" s="1" t="s">
        <v>12</v>
      </c>
      <c r="F730" s="25">
        <v>196391.22</v>
      </c>
      <c r="G730" s="4">
        <v>44124</v>
      </c>
      <c r="H730" s="4">
        <v>43076</v>
      </c>
      <c r="I730" s="1" t="s">
        <v>1014</v>
      </c>
      <c r="J730" s="7" t="s">
        <v>2435</v>
      </c>
      <c r="K730" s="17">
        <v>1713</v>
      </c>
      <c r="L730" t="str">
        <f ca="1">+IF(TODAY()-ICETEX[[#This Row],[fecha_ultimo_movimiento]]&gt;360,"Inactivo","Activo")</f>
        <v>Inactivo</v>
      </c>
      <c r="M730" s="24">
        <f>+VLOOKUP(ICETEX[[#This Row],[fecha_ultimo_movimiento]],UVR!A:B,2,0)</f>
        <v>274.70400000000001</v>
      </c>
      <c r="N730" s="24">
        <v>715</v>
      </c>
      <c r="O730" t="s">
        <v>3264</v>
      </c>
    </row>
    <row r="731" spans="1:15" ht="26.5" thickBot="1">
      <c r="A731" s="6">
        <v>730</v>
      </c>
      <c r="B731" s="1" t="s">
        <v>2436</v>
      </c>
      <c r="C731" s="1" t="s">
        <v>2437</v>
      </c>
      <c r="D731" s="2">
        <v>122106154</v>
      </c>
      <c r="E731" s="1" t="s">
        <v>45</v>
      </c>
      <c r="F731" s="25">
        <v>122488.39</v>
      </c>
      <c r="G731" s="4">
        <v>45690</v>
      </c>
      <c r="H731" s="4">
        <v>43023</v>
      </c>
      <c r="I731" s="1" t="s">
        <v>1600</v>
      </c>
      <c r="J731" s="7" t="s">
        <v>2438</v>
      </c>
      <c r="K731" s="17">
        <v>147</v>
      </c>
      <c r="L731" t="str">
        <f ca="1">+IF(TODAY()-ICETEX[[#This Row],[fecha_ultimo_movimiento]]&gt;360,"Inactivo","Activo")</f>
        <v>Activo</v>
      </c>
      <c r="M731" s="24">
        <f>+VLOOKUP(ICETEX[[#This Row],[fecha_ultimo_movimiento]],UVR!A:B,2,0)</f>
        <v>378.2749</v>
      </c>
      <c r="N731" s="24">
        <v>324</v>
      </c>
      <c r="O731" t="s">
        <v>3264</v>
      </c>
    </row>
    <row r="732" spans="1:15" ht="15" thickBot="1">
      <c r="A732" s="6">
        <v>731</v>
      </c>
      <c r="B732" s="1" t="s">
        <v>1827</v>
      </c>
      <c r="C732" s="1" t="s">
        <v>2439</v>
      </c>
      <c r="D732" s="2">
        <v>72412435</v>
      </c>
      <c r="E732" s="1" t="s">
        <v>12</v>
      </c>
      <c r="F732" s="25">
        <v>80335.7</v>
      </c>
      <c r="G732" s="4">
        <v>45182</v>
      </c>
      <c r="H732" s="4">
        <v>42611</v>
      </c>
      <c r="I732" s="1" t="s">
        <v>246</v>
      </c>
      <c r="J732" s="7" t="s">
        <v>2440</v>
      </c>
      <c r="K732" s="17">
        <v>655</v>
      </c>
      <c r="L732" t="str">
        <f ca="1">+IF(TODAY()-ICETEX[[#This Row],[fecha_ultimo_movimiento]]&gt;360,"Inactivo","Activo")</f>
        <v>Inactivo</v>
      </c>
      <c r="M732" s="24">
        <f>+VLOOKUP(ICETEX[[#This Row],[fecha_ultimo_movimiento]],UVR!A:B,2,0)</f>
        <v>351.58940000000001</v>
      </c>
      <c r="N732" s="24">
        <v>228</v>
      </c>
      <c r="O732" t="s">
        <v>3265</v>
      </c>
    </row>
    <row r="733" spans="1:15" ht="15" thickBot="1">
      <c r="A733" s="6">
        <v>732</v>
      </c>
      <c r="B733" s="1" t="s">
        <v>2441</v>
      </c>
      <c r="C733" s="1" t="s">
        <v>2442</v>
      </c>
      <c r="D733" s="2">
        <v>65403626</v>
      </c>
      <c r="E733" s="1" t="s">
        <v>12</v>
      </c>
      <c r="F733" s="25">
        <v>52923.67</v>
      </c>
      <c r="G733" s="4">
        <v>44748</v>
      </c>
      <c r="H733" s="4">
        <v>43328</v>
      </c>
      <c r="I733" s="1" t="s">
        <v>25</v>
      </c>
      <c r="J733" s="7" t="s">
        <v>2443</v>
      </c>
      <c r="K733" s="17">
        <v>1089</v>
      </c>
      <c r="L733" t="str">
        <f ca="1">+IF(TODAY()-ICETEX[[#This Row],[fecha_ultimo_movimiento]]&gt;360,"Inactivo","Activo")</f>
        <v>Inactivo</v>
      </c>
      <c r="M733" s="24">
        <f>+VLOOKUP(ICETEX[[#This Row],[fecha_ultimo_movimiento]],UVR!A:B,2,0)</f>
        <v>309.74639999999999</v>
      </c>
      <c r="N733" s="24">
        <v>171</v>
      </c>
      <c r="O733" t="s">
        <v>3265</v>
      </c>
    </row>
    <row r="734" spans="1:15" ht="15" thickBot="1">
      <c r="A734" s="6">
        <v>733</v>
      </c>
      <c r="B734" s="1" t="s">
        <v>2444</v>
      </c>
      <c r="C734" s="1" t="s">
        <v>2445</v>
      </c>
      <c r="D734" s="2">
        <v>65400153</v>
      </c>
      <c r="E734" s="1" t="s">
        <v>45</v>
      </c>
      <c r="F734" s="25">
        <v>111307.8</v>
      </c>
      <c r="G734" s="4">
        <v>43897</v>
      </c>
      <c r="H734" s="4">
        <v>43328</v>
      </c>
      <c r="I734" s="1" t="s">
        <v>1482</v>
      </c>
      <c r="J734" s="7" t="s">
        <v>2446</v>
      </c>
      <c r="K734" s="17">
        <v>1940</v>
      </c>
      <c r="L734" t="str">
        <f ca="1">+IF(TODAY()-ICETEX[[#This Row],[fecha_ultimo_movimiento]]&gt;360,"Inactivo","Activo")</f>
        <v>Inactivo</v>
      </c>
      <c r="M734" s="24">
        <f>+VLOOKUP(ICETEX[[#This Row],[fecha_ultimo_movimiento]],UVR!A:B,2,0)</f>
        <v>272.37380000000002</v>
      </c>
      <c r="N734" s="24">
        <v>409</v>
      </c>
      <c r="O734" t="s">
        <v>3264</v>
      </c>
    </row>
    <row r="735" spans="1:15" ht="15" thickBot="1">
      <c r="A735" s="6">
        <v>734</v>
      </c>
      <c r="B735" s="1" t="s">
        <v>2447</v>
      </c>
      <c r="C735" s="1" t="s">
        <v>2448</v>
      </c>
      <c r="D735" s="2">
        <v>81517981</v>
      </c>
      <c r="E735" s="1" t="s">
        <v>45</v>
      </c>
      <c r="F735" s="25">
        <v>167407.67000000001</v>
      </c>
      <c r="G735" s="4">
        <v>44081</v>
      </c>
      <c r="H735" s="4">
        <v>42713</v>
      </c>
      <c r="I735" s="1" t="s">
        <v>1925</v>
      </c>
      <c r="J735" s="7" t="s">
        <v>2449</v>
      </c>
      <c r="K735" s="17">
        <v>1756</v>
      </c>
      <c r="L735" t="str">
        <f ca="1">+IF(TODAY()-ICETEX[[#This Row],[fecha_ultimo_movimiento]]&gt;360,"Inactivo","Activo")</f>
        <v>Inactivo</v>
      </c>
      <c r="M735" s="24">
        <f>+VLOOKUP(ICETEX[[#This Row],[fecha_ultimo_movimiento]],UVR!A:B,2,0)</f>
        <v>274.58999999999997</v>
      </c>
      <c r="N735" s="24">
        <v>610</v>
      </c>
      <c r="O735" t="s">
        <v>3264</v>
      </c>
    </row>
    <row r="736" spans="1:15" ht="15" thickBot="1">
      <c r="A736" s="6">
        <v>735</v>
      </c>
      <c r="B736" s="1" t="s">
        <v>2450</v>
      </c>
      <c r="C736" s="1" t="s">
        <v>2451</v>
      </c>
      <c r="D736" s="2">
        <v>122105854</v>
      </c>
      <c r="E736" s="1" t="s">
        <v>12</v>
      </c>
      <c r="F736" s="25">
        <v>144262.56</v>
      </c>
      <c r="G736" s="4">
        <v>44972</v>
      </c>
      <c r="H736" s="4">
        <v>43158</v>
      </c>
      <c r="I736" s="1" t="s">
        <v>127</v>
      </c>
      <c r="J736" s="7" t="s">
        <v>2452</v>
      </c>
      <c r="K736" s="17">
        <v>865</v>
      </c>
      <c r="L736" t="str">
        <f ca="1">+IF(TODAY()-ICETEX[[#This Row],[fecha_ultimo_movimiento]]&gt;360,"Inactivo","Activo")</f>
        <v>Inactivo</v>
      </c>
      <c r="M736" s="24">
        <f>+VLOOKUP(ICETEX[[#This Row],[fecha_ultimo_movimiento]],UVR!A:B,2,0)</f>
        <v>329.7022</v>
      </c>
      <c r="N736" s="24">
        <v>438</v>
      </c>
      <c r="O736" t="s">
        <v>3264</v>
      </c>
    </row>
    <row r="737" spans="1:15" ht="15" thickBot="1">
      <c r="A737" s="6">
        <v>736</v>
      </c>
      <c r="B737" s="1" t="s">
        <v>2453</v>
      </c>
      <c r="C737" s="1" t="s">
        <v>2454</v>
      </c>
      <c r="D737" s="2">
        <v>111909825</v>
      </c>
      <c r="E737" s="1" t="s">
        <v>45</v>
      </c>
      <c r="F737" s="25">
        <v>21898.19</v>
      </c>
      <c r="G737" s="4">
        <v>45462</v>
      </c>
      <c r="H737" s="4">
        <v>43154</v>
      </c>
      <c r="I737" s="1" t="s">
        <v>2231</v>
      </c>
      <c r="J737" s="7" t="s">
        <v>2455</v>
      </c>
      <c r="K737" s="17">
        <v>375</v>
      </c>
      <c r="L737" t="str">
        <f ca="1">+IF(TODAY()-ICETEX[[#This Row],[fecha_ultimo_movimiento]]&gt;360,"Inactivo","Activo")</f>
        <v>Inactivo</v>
      </c>
      <c r="M737" s="24">
        <f>+VLOOKUP(ICETEX[[#This Row],[fecha_ultimo_movimiento]],UVR!A:B,2,0)</f>
        <v>372.50560000000002</v>
      </c>
      <c r="N737" s="24">
        <v>59</v>
      </c>
      <c r="O737" t="s">
        <v>3265</v>
      </c>
    </row>
    <row r="738" spans="1:15" ht="15" thickBot="1">
      <c r="A738" s="6">
        <v>737</v>
      </c>
      <c r="B738" s="1" t="s">
        <v>2456</v>
      </c>
      <c r="C738" s="1" t="s">
        <v>2457</v>
      </c>
      <c r="D738" s="2">
        <v>83902374</v>
      </c>
      <c r="E738" s="1" t="s">
        <v>45</v>
      </c>
      <c r="F738" s="25">
        <v>34526.32</v>
      </c>
      <c r="G738" s="4">
        <v>44827</v>
      </c>
      <c r="H738" s="4">
        <v>43020</v>
      </c>
      <c r="I738" s="1" t="s">
        <v>131</v>
      </c>
      <c r="J738" s="7" t="s">
        <v>2458</v>
      </c>
      <c r="K738" s="17">
        <v>1010</v>
      </c>
      <c r="L738" t="str">
        <f ca="1">+IF(TODAY()-ICETEX[[#This Row],[fecha_ultimo_movimiento]]&gt;360,"Inactivo","Activo")</f>
        <v>Inactivo</v>
      </c>
      <c r="M738" s="24">
        <f>+VLOOKUP(ICETEX[[#This Row],[fecha_ultimo_movimiento]],UVR!A:B,2,0)</f>
        <v>315.48910000000001</v>
      </c>
      <c r="N738" s="24">
        <v>109</v>
      </c>
      <c r="O738" t="s">
        <v>3265</v>
      </c>
    </row>
    <row r="739" spans="1:15" ht="15" thickBot="1">
      <c r="A739" s="6">
        <v>738</v>
      </c>
      <c r="B739" s="1" t="s">
        <v>2459</v>
      </c>
      <c r="C739" s="1" t="s">
        <v>2460</v>
      </c>
      <c r="D739" s="2">
        <v>63114784</v>
      </c>
      <c r="E739" s="1" t="s">
        <v>45</v>
      </c>
      <c r="F739" s="25">
        <v>97053.7</v>
      </c>
      <c r="G739" s="4">
        <v>44474</v>
      </c>
      <c r="H739" s="4">
        <v>42895</v>
      </c>
      <c r="I739" s="1" t="s">
        <v>147</v>
      </c>
      <c r="J739" s="7" t="s">
        <v>2461</v>
      </c>
      <c r="K739" s="17">
        <v>1363</v>
      </c>
      <c r="L739" t="str">
        <f ca="1">+IF(TODAY()-ICETEX[[#This Row],[fecha_ultimo_movimiento]]&gt;360,"Inactivo","Activo")</f>
        <v>Inactivo</v>
      </c>
      <c r="M739" s="24">
        <f>+VLOOKUP(ICETEX[[#This Row],[fecha_ultimo_movimiento]],UVR!A:B,2,0)</f>
        <v>286.32979999999998</v>
      </c>
      <c r="N739" s="24">
        <v>339</v>
      </c>
      <c r="O739" t="s">
        <v>3264</v>
      </c>
    </row>
    <row r="740" spans="1:15" ht="15" thickBot="1">
      <c r="A740" s="6">
        <v>739</v>
      </c>
      <c r="B740" s="1" t="s">
        <v>2462</v>
      </c>
      <c r="C740" s="1" t="s">
        <v>2463</v>
      </c>
      <c r="D740" s="2">
        <v>64206031</v>
      </c>
      <c r="E740" s="1" t="s">
        <v>12</v>
      </c>
      <c r="F740" s="25">
        <v>39229.019999999997</v>
      </c>
      <c r="G740" s="4">
        <v>45670</v>
      </c>
      <c r="H740" s="4">
        <v>42817</v>
      </c>
      <c r="I740" s="1" t="s">
        <v>2464</v>
      </c>
      <c r="J740" s="7" t="s">
        <v>2465</v>
      </c>
      <c r="K740" s="17">
        <v>167</v>
      </c>
      <c r="L740" t="str">
        <f ca="1">+IF(TODAY()-ICETEX[[#This Row],[fecha_ultimo_movimiento]]&gt;360,"Inactivo","Activo")</f>
        <v>Activo</v>
      </c>
      <c r="M740" s="24">
        <f>+VLOOKUP(ICETEX[[#This Row],[fecha_ultimo_movimiento]],UVR!A:B,2,0)</f>
        <v>377.20260000000002</v>
      </c>
      <c r="N740" s="24">
        <v>104</v>
      </c>
      <c r="O740" t="s">
        <v>3264</v>
      </c>
    </row>
    <row r="741" spans="1:15" ht="15" thickBot="1">
      <c r="A741" s="6">
        <v>740</v>
      </c>
      <c r="B741" s="1" t="s">
        <v>2466</v>
      </c>
      <c r="C741" s="1" t="s">
        <v>2467</v>
      </c>
      <c r="D741" s="2">
        <v>263189865</v>
      </c>
      <c r="E741" s="1" t="s">
        <v>12</v>
      </c>
      <c r="F741" s="25">
        <v>119809.67</v>
      </c>
      <c r="G741" s="4">
        <v>44373</v>
      </c>
      <c r="H741" s="4">
        <v>42769</v>
      </c>
      <c r="I741" s="1" t="s">
        <v>383</v>
      </c>
      <c r="J741" s="7" t="s">
        <v>2468</v>
      </c>
      <c r="K741" s="17">
        <v>1464</v>
      </c>
      <c r="L741" t="str">
        <f ca="1">+IF(TODAY()-ICETEX[[#This Row],[fecha_ultimo_movimiento]]&gt;360,"Inactivo","Activo")</f>
        <v>Inactivo</v>
      </c>
      <c r="M741" s="24">
        <f>+VLOOKUP(ICETEX[[#This Row],[fecha_ultimo_movimiento]],UVR!A:B,2,0)</f>
        <v>282.91719999999998</v>
      </c>
      <c r="N741" s="24">
        <v>423</v>
      </c>
      <c r="O741" t="s">
        <v>3264</v>
      </c>
    </row>
    <row r="742" spans="1:15" ht="15" thickBot="1">
      <c r="A742" s="6">
        <v>741</v>
      </c>
      <c r="B742" s="1" t="s">
        <v>2469</v>
      </c>
      <c r="C742" s="1" t="s">
        <v>2470</v>
      </c>
      <c r="D742" s="2">
        <v>274970063</v>
      </c>
      <c r="E742" s="1" t="s">
        <v>12</v>
      </c>
      <c r="F742" s="25">
        <v>94306.240000000005</v>
      </c>
      <c r="G742" s="4">
        <v>44798</v>
      </c>
      <c r="H742" s="4">
        <v>43212</v>
      </c>
      <c r="I742" s="1" t="s">
        <v>131</v>
      </c>
      <c r="J742" s="7" t="s">
        <v>2471</v>
      </c>
      <c r="K742" s="17">
        <v>1039</v>
      </c>
      <c r="L742" t="str">
        <f ca="1">+IF(TODAY()-ICETEX[[#This Row],[fecha_ultimo_movimiento]]&gt;360,"Inactivo","Activo")</f>
        <v>Inactivo</v>
      </c>
      <c r="M742" s="24">
        <f>+VLOOKUP(ICETEX[[#This Row],[fecha_ultimo_movimiento]],UVR!A:B,2,0)</f>
        <v>312.92169999999999</v>
      </c>
      <c r="N742" s="24">
        <v>301</v>
      </c>
      <c r="O742" t="s">
        <v>3265</v>
      </c>
    </row>
    <row r="743" spans="1:15" ht="15" thickBot="1">
      <c r="A743" s="6">
        <v>742</v>
      </c>
      <c r="B743" s="1" t="s">
        <v>2472</v>
      </c>
      <c r="C743" s="1" t="s">
        <v>2473</v>
      </c>
      <c r="D743" s="2">
        <v>322283178</v>
      </c>
      <c r="E743" s="1" t="s">
        <v>45</v>
      </c>
      <c r="F743" s="25">
        <v>47791.38</v>
      </c>
      <c r="G743" s="4">
        <v>44035</v>
      </c>
      <c r="H743" s="4">
        <v>43016</v>
      </c>
      <c r="I743" s="1" t="s">
        <v>2474</v>
      </c>
      <c r="J743" s="7" t="s">
        <v>2475</v>
      </c>
      <c r="K743" s="17">
        <v>1802</v>
      </c>
      <c r="L743" t="str">
        <f ca="1">+IF(TODAY()-ICETEX[[#This Row],[fecha_ultimo_movimiento]]&gt;360,"Inactivo","Activo")</f>
        <v>Inactivo</v>
      </c>
      <c r="M743" s="24">
        <f>+VLOOKUP(ICETEX[[#This Row],[fecha_ultimo_movimiento]],UVR!A:B,2,0)</f>
        <v>275.36669999999998</v>
      </c>
      <c r="N743" s="24">
        <v>174</v>
      </c>
      <c r="O743" t="s">
        <v>3265</v>
      </c>
    </row>
    <row r="744" spans="1:15" ht="15" thickBot="1">
      <c r="A744" s="6">
        <v>743</v>
      </c>
      <c r="B744" s="1" t="s">
        <v>2476</v>
      </c>
      <c r="C744" s="1" t="s">
        <v>2477</v>
      </c>
      <c r="D744" s="2">
        <v>102101700</v>
      </c>
      <c r="E744" s="1" t="s">
        <v>12</v>
      </c>
      <c r="F744" s="25">
        <v>71649.98</v>
      </c>
      <c r="G744" s="4">
        <v>45378</v>
      </c>
      <c r="H744" s="4">
        <v>43312</v>
      </c>
      <c r="I744" s="1" t="s">
        <v>2478</v>
      </c>
      <c r="J744" s="7" t="s">
        <v>2479</v>
      </c>
      <c r="K744" s="17">
        <v>459</v>
      </c>
      <c r="L744" t="str">
        <f ca="1">+IF(TODAY()-ICETEX[[#This Row],[fecha_ultimo_movimiento]]&gt;360,"Inactivo","Activo")</f>
        <v>Inactivo</v>
      </c>
      <c r="M744" s="24">
        <f>+VLOOKUP(ICETEX[[#This Row],[fecha_ultimo_movimiento]],UVR!A:B,2,0)</f>
        <v>365.10210000000001</v>
      </c>
      <c r="N744" s="24">
        <v>196</v>
      </c>
      <c r="O744" t="s">
        <v>3265</v>
      </c>
    </row>
    <row r="745" spans="1:15" ht="15" thickBot="1">
      <c r="A745" s="6">
        <v>744</v>
      </c>
      <c r="B745" s="1" t="s">
        <v>2480</v>
      </c>
      <c r="C745" s="1" t="s">
        <v>2481</v>
      </c>
      <c r="D745" s="2">
        <v>64208398</v>
      </c>
      <c r="E745" s="1" t="s">
        <v>45</v>
      </c>
      <c r="F745" s="25">
        <v>191750.78</v>
      </c>
      <c r="G745" s="4">
        <v>43939</v>
      </c>
      <c r="H745" s="4">
        <v>42530</v>
      </c>
      <c r="I745" s="1" t="s">
        <v>205</v>
      </c>
      <c r="J745" s="7" t="s">
        <v>2482</v>
      </c>
      <c r="K745" s="17">
        <v>1898</v>
      </c>
      <c r="L745" t="str">
        <f ca="1">+IF(TODAY()-ICETEX[[#This Row],[fecha_ultimo_movimiento]]&gt;360,"Inactivo","Activo")</f>
        <v>Inactivo</v>
      </c>
      <c r="M745" s="24">
        <f>+VLOOKUP(ICETEX[[#This Row],[fecha_ultimo_movimiento]],UVR!A:B,2,0)</f>
        <v>274.67200000000003</v>
      </c>
      <c r="N745" s="24">
        <v>698</v>
      </c>
      <c r="O745" t="s">
        <v>3264</v>
      </c>
    </row>
    <row r="746" spans="1:15" ht="15" thickBot="1">
      <c r="A746" s="6">
        <v>745</v>
      </c>
      <c r="B746" s="1" t="s">
        <v>2483</v>
      </c>
      <c r="C746" s="1" t="s">
        <v>2484</v>
      </c>
      <c r="D746" s="2">
        <v>21202609</v>
      </c>
      <c r="E746" s="1" t="s">
        <v>45</v>
      </c>
      <c r="F746" s="25">
        <v>139461.73000000001</v>
      </c>
      <c r="G746" s="4">
        <v>45661</v>
      </c>
      <c r="H746" s="4">
        <v>43013</v>
      </c>
      <c r="I746" s="1" t="s">
        <v>13</v>
      </c>
      <c r="J746" s="7" t="s">
        <v>2485</v>
      </c>
      <c r="K746" s="17">
        <v>176</v>
      </c>
      <c r="L746" t="str">
        <f ca="1">+IF(TODAY()-ICETEX[[#This Row],[fecha_ultimo_movimiento]]&gt;360,"Inactivo","Activo")</f>
        <v>Activo</v>
      </c>
      <c r="M746" s="24">
        <f>+VLOOKUP(ICETEX[[#This Row],[fecha_ultimo_movimiento]],UVR!A:B,2,0)</f>
        <v>376.9074</v>
      </c>
      <c r="N746" s="24">
        <v>370</v>
      </c>
      <c r="O746" t="s">
        <v>3264</v>
      </c>
    </row>
    <row r="747" spans="1:15" ht="15" thickBot="1">
      <c r="A747" s="6">
        <v>746</v>
      </c>
      <c r="B747" s="1" t="s">
        <v>2486</v>
      </c>
      <c r="C747" s="1" t="s">
        <v>2487</v>
      </c>
      <c r="D747" s="2">
        <v>321070227</v>
      </c>
      <c r="E747" s="1" t="s">
        <v>12</v>
      </c>
      <c r="F747" s="25">
        <v>91301.73</v>
      </c>
      <c r="G747" s="4">
        <v>45752</v>
      </c>
      <c r="H747" s="4">
        <v>42515</v>
      </c>
      <c r="I747" s="1" t="s">
        <v>419</v>
      </c>
      <c r="J747" s="7" t="s">
        <v>2488</v>
      </c>
      <c r="K747" s="17">
        <v>85</v>
      </c>
      <c r="L747" t="str">
        <f ca="1">+IF(TODAY()-ICETEX[[#This Row],[fecha_ultimo_movimiento]]&gt;360,"Inactivo","Activo")</f>
        <v>Activo</v>
      </c>
      <c r="M747" s="24">
        <f>+VLOOKUP(ICETEX[[#This Row],[fecha_ultimo_movimiento]],UVR!A:B,2,0)</f>
        <v>385.51519999999999</v>
      </c>
      <c r="N747" s="24">
        <v>237</v>
      </c>
      <c r="O747" t="s">
        <v>3264</v>
      </c>
    </row>
    <row r="748" spans="1:15" ht="15" thickBot="1">
      <c r="A748" s="6">
        <v>747</v>
      </c>
      <c r="B748" s="1" t="s">
        <v>2489</v>
      </c>
      <c r="C748" s="1" t="s">
        <v>2490</v>
      </c>
      <c r="D748" s="2">
        <v>101000048</v>
      </c>
      <c r="E748" s="1" t="s">
        <v>12</v>
      </c>
      <c r="F748" s="25">
        <v>73908.61</v>
      </c>
      <c r="G748" s="4">
        <v>45499</v>
      </c>
      <c r="H748" s="4">
        <v>43208</v>
      </c>
      <c r="I748" s="1" t="s">
        <v>217</v>
      </c>
      <c r="J748" s="7" t="s">
        <v>2491</v>
      </c>
      <c r="K748" s="17">
        <v>338</v>
      </c>
      <c r="L748" t="str">
        <f ca="1">+IF(TODAY()-ICETEX[[#This Row],[fecha_ultimo_movimiento]]&gt;360,"Inactivo","Activo")</f>
        <v>Activo</v>
      </c>
      <c r="M748" s="24">
        <f>+VLOOKUP(ICETEX[[#This Row],[fecha_ultimo_movimiento]],UVR!A:B,2,0)</f>
        <v>374.3175</v>
      </c>
      <c r="N748" s="24">
        <v>197</v>
      </c>
      <c r="O748" t="s">
        <v>3264</v>
      </c>
    </row>
    <row r="749" spans="1:15" ht="15" thickBot="1">
      <c r="A749" s="6">
        <v>748</v>
      </c>
      <c r="B749" s="1" t="s">
        <v>2492</v>
      </c>
      <c r="C749" s="1" t="s">
        <v>2493</v>
      </c>
      <c r="D749" s="2">
        <v>61204913</v>
      </c>
      <c r="E749" s="1" t="s">
        <v>45</v>
      </c>
      <c r="F749" s="25">
        <v>168413.53</v>
      </c>
      <c r="G749" s="4">
        <v>45732</v>
      </c>
      <c r="H749" s="4">
        <v>42384</v>
      </c>
      <c r="I749" s="1" t="s">
        <v>2494</v>
      </c>
      <c r="J749" s="7" t="s">
        <v>2495</v>
      </c>
      <c r="K749" s="17">
        <v>105</v>
      </c>
      <c r="L749" t="str">
        <f ca="1">+IF(TODAY()-ICETEX[[#This Row],[fecha_ultimo_movimiento]]&gt;360,"Inactivo","Activo")</f>
        <v>Activo</v>
      </c>
      <c r="M749" s="24">
        <f>+VLOOKUP(ICETEX[[#This Row],[fecha_ultimo_movimiento]],UVR!A:B,2,0)</f>
        <v>382.70609999999999</v>
      </c>
      <c r="N749" s="24">
        <v>440</v>
      </c>
      <c r="O749" t="s">
        <v>3264</v>
      </c>
    </row>
    <row r="750" spans="1:15" ht="15" thickBot="1">
      <c r="A750" s="6">
        <v>749</v>
      </c>
      <c r="B750" s="1" t="s">
        <v>2496</v>
      </c>
      <c r="C750" s="1" t="s">
        <v>2497</v>
      </c>
      <c r="D750" s="2">
        <v>53203210</v>
      </c>
      <c r="E750" s="1" t="s">
        <v>12</v>
      </c>
      <c r="F750" s="25">
        <v>86699.35</v>
      </c>
      <c r="G750" s="4">
        <v>45318</v>
      </c>
      <c r="H750" s="4">
        <v>42381</v>
      </c>
      <c r="I750" s="1" t="s">
        <v>2498</v>
      </c>
      <c r="J750" s="7" t="s">
        <v>2499</v>
      </c>
      <c r="K750" s="17">
        <v>519</v>
      </c>
      <c r="L750" t="str">
        <f ca="1">+IF(TODAY()-ICETEX[[#This Row],[fecha_ultimo_movimiento]]&gt;360,"Inactivo","Activo")</f>
        <v>Inactivo</v>
      </c>
      <c r="M750" s="24">
        <f>+VLOOKUP(ICETEX[[#This Row],[fecha_ultimo_movimiento]],UVR!A:B,2,0)</f>
        <v>359.2688</v>
      </c>
      <c r="N750" s="24">
        <v>241</v>
      </c>
      <c r="O750" t="s">
        <v>3265</v>
      </c>
    </row>
    <row r="751" spans="1:15" ht="15" thickBot="1">
      <c r="A751" s="6">
        <v>750</v>
      </c>
      <c r="B751" s="1" t="s">
        <v>2500</v>
      </c>
      <c r="C751" s="1" t="s">
        <v>2501</v>
      </c>
      <c r="D751" s="2">
        <v>61102549</v>
      </c>
      <c r="E751" s="1" t="s">
        <v>12</v>
      </c>
      <c r="F751" s="25">
        <v>42445.72</v>
      </c>
      <c r="G751" s="4">
        <v>44247</v>
      </c>
      <c r="H751" s="4">
        <v>42786</v>
      </c>
      <c r="I751" s="1" t="s">
        <v>1561</v>
      </c>
      <c r="J751" s="7" t="s">
        <v>2502</v>
      </c>
      <c r="K751" s="17">
        <v>1590</v>
      </c>
      <c r="L751" t="str">
        <f ca="1">+IF(TODAY()-ICETEX[[#This Row],[fecha_ultimo_movimiento]]&gt;360,"Inactivo","Activo")</f>
        <v>Inactivo</v>
      </c>
      <c r="M751" s="24">
        <f>+VLOOKUP(ICETEX[[#This Row],[fecha_ultimo_movimiento]],UVR!A:B,2,0)</f>
        <v>276.10910000000001</v>
      </c>
      <c r="N751" s="24">
        <v>154</v>
      </c>
      <c r="O751" t="s">
        <v>3265</v>
      </c>
    </row>
    <row r="752" spans="1:15" ht="15" thickBot="1">
      <c r="A752" s="6">
        <v>751</v>
      </c>
      <c r="B752" s="1" t="s">
        <v>2503</v>
      </c>
      <c r="C752" s="1" t="s">
        <v>1457</v>
      </c>
      <c r="D752" s="2">
        <v>43318092</v>
      </c>
      <c r="E752" s="1" t="s">
        <v>12</v>
      </c>
      <c r="F752" s="25">
        <v>79666.5</v>
      </c>
      <c r="G752" s="4">
        <v>44945</v>
      </c>
      <c r="H752" s="4">
        <v>42964</v>
      </c>
      <c r="I752" s="1" t="s">
        <v>88</v>
      </c>
      <c r="J752" s="7" t="s">
        <v>2504</v>
      </c>
      <c r="K752" s="17">
        <v>892</v>
      </c>
      <c r="L752" t="str">
        <f ca="1">+IF(TODAY()-ICETEX[[#This Row],[fecha_ultimo_movimiento]]&gt;360,"Inactivo","Activo")</f>
        <v>Inactivo</v>
      </c>
      <c r="M752" s="24">
        <f>+VLOOKUP(ICETEX[[#This Row],[fecha_ultimo_movimiento]],UVR!A:B,2,0)</f>
        <v>326.12610000000001</v>
      </c>
      <c r="N752" s="24">
        <v>244</v>
      </c>
      <c r="O752" t="s">
        <v>3265</v>
      </c>
    </row>
    <row r="753" spans="1:15" ht="15" thickBot="1">
      <c r="A753" s="6">
        <v>752</v>
      </c>
      <c r="B753" s="1" t="s">
        <v>2505</v>
      </c>
      <c r="C753" s="1" t="s">
        <v>2506</v>
      </c>
      <c r="D753" s="2">
        <v>125104425</v>
      </c>
      <c r="E753" s="1" t="s">
        <v>45</v>
      </c>
      <c r="F753" s="25">
        <v>52065.21</v>
      </c>
      <c r="G753" s="4">
        <v>45475</v>
      </c>
      <c r="H753" s="4">
        <v>43066</v>
      </c>
      <c r="I753" s="1" t="s">
        <v>2507</v>
      </c>
      <c r="J753" s="7" t="s">
        <v>2508</v>
      </c>
      <c r="K753" s="17">
        <v>362</v>
      </c>
      <c r="L753" t="str">
        <f ca="1">+IF(TODAY()-ICETEX[[#This Row],[fecha_ultimo_movimiento]]&gt;360,"Inactivo","Activo")</f>
        <v>Inactivo</v>
      </c>
      <c r="M753" s="24">
        <f>+VLOOKUP(ICETEX[[#This Row],[fecha_ultimo_movimiento]],UVR!A:B,2,0)</f>
        <v>373.19880000000001</v>
      </c>
      <c r="N753" s="24">
        <v>140</v>
      </c>
      <c r="O753" t="s">
        <v>3264</v>
      </c>
    </row>
    <row r="754" spans="1:15" ht="15" thickBot="1">
      <c r="A754" s="6">
        <v>753</v>
      </c>
      <c r="B754" s="1" t="s">
        <v>2509</v>
      </c>
      <c r="C754" s="1" t="s">
        <v>2510</v>
      </c>
      <c r="D754" s="2">
        <v>83901773</v>
      </c>
      <c r="E754" s="1" t="s">
        <v>12</v>
      </c>
      <c r="F754" s="25">
        <v>131448.85999999999</v>
      </c>
      <c r="G754" s="4">
        <v>45159</v>
      </c>
      <c r="H754" s="4">
        <v>43198</v>
      </c>
      <c r="I754" s="1" t="s">
        <v>2511</v>
      </c>
      <c r="J754" s="7" t="s">
        <v>2512</v>
      </c>
      <c r="K754" s="17">
        <v>678</v>
      </c>
      <c r="L754" t="str">
        <f ca="1">+IF(TODAY()-ICETEX[[#This Row],[fecha_ultimo_movimiento]]&gt;360,"Inactivo","Activo")</f>
        <v>Inactivo</v>
      </c>
      <c r="M754" s="24">
        <f>+VLOOKUP(ICETEX[[#This Row],[fecha_ultimo_movimiento]],UVR!A:B,2,0)</f>
        <v>350.29079999999999</v>
      </c>
      <c r="N754" s="24">
        <v>375</v>
      </c>
      <c r="O754" t="s">
        <v>3264</v>
      </c>
    </row>
    <row r="755" spans="1:15" ht="15" thickBot="1">
      <c r="A755" s="6">
        <v>754</v>
      </c>
      <c r="B755" s="1" t="s">
        <v>2138</v>
      </c>
      <c r="C755" s="1" t="s">
        <v>2513</v>
      </c>
      <c r="D755" s="2">
        <v>111925045</v>
      </c>
      <c r="E755" s="1" t="s">
        <v>12</v>
      </c>
      <c r="F755" s="25">
        <v>140471.51999999999</v>
      </c>
      <c r="G755" s="4">
        <v>44788</v>
      </c>
      <c r="H755" s="4">
        <v>43418</v>
      </c>
      <c r="I755" s="1" t="s">
        <v>1446</v>
      </c>
      <c r="J755" s="7" t="s">
        <v>2514</v>
      </c>
      <c r="K755" s="17">
        <v>1049</v>
      </c>
      <c r="L755" t="str">
        <f ca="1">+IF(TODAY()-ICETEX[[#This Row],[fecha_ultimo_movimiento]]&gt;360,"Inactivo","Activo")</f>
        <v>Inactivo</v>
      </c>
      <c r="M755" s="24">
        <f>+VLOOKUP(ICETEX[[#This Row],[fecha_ultimo_movimiento]],UVR!A:B,2,0)</f>
        <v>312.10840000000002</v>
      </c>
      <c r="N755" s="24">
        <v>450</v>
      </c>
      <c r="O755" t="s">
        <v>3264</v>
      </c>
    </row>
    <row r="756" spans="1:15" ht="15" thickBot="1">
      <c r="A756" s="6">
        <v>755</v>
      </c>
      <c r="B756" s="1" t="s">
        <v>2515</v>
      </c>
      <c r="C756" s="1" t="s">
        <v>2516</v>
      </c>
      <c r="D756" s="2">
        <v>125108065</v>
      </c>
      <c r="E756" s="1" t="s">
        <v>12</v>
      </c>
      <c r="F756" s="25">
        <v>120999.83</v>
      </c>
      <c r="G756" s="4">
        <v>44500</v>
      </c>
      <c r="H756" s="4">
        <v>43213</v>
      </c>
      <c r="I756" s="1" t="s">
        <v>263</v>
      </c>
      <c r="J756" s="7" t="s">
        <v>2517</v>
      </c>
      <c r="K756" s="17">
        <v>1337</v>
      </c>
      <c r="L756" t="str">
        <f ca="1">+IF(TODAY()-ICETEX[[#This Row],[fecha_ultimo_movimiento]]&gt;360,"Inactivo","Activo")</f>
        <v>Inactivo</v>
      </c>
      <c r="M756" s="24">
        <f>+VLOOKUP(ICETEX[[#This Row],[fecha_ultimo_movimiento]],UVR!A:B,2,0)</f>
        <v>287.32049999999998</v>
      </c>
      <c r="N756" s="24">
        <v>421</v>
      </c>
      <c r="O756" t="s">
        <v>3264</v>
      </c>
    </row>
    <row r="757" spans="1:15" ht="15" thickBot="1">
      <c r="A757" s="6">
        <v>756</v>
      </c>
      <c r="B757" s="1" t="s">
        <v>2518</v>
      </c>
      <c r="C757" s="1" t="s">
        <v>2519</v>
      </c>
      <c r="D757" s="2">
        <v>71924584</v>
      </c>
      <c r="E757" s="1" t="s">
        <v>45</v>
      </c>
      <c r="F757" s="25">
        <v>30857.21</v>
      </c>
      <c r="G757" s="4">
        <v>44469</v>
      </c>
      <c r="H757" s="4">
        <v>42454</v>
      </c>
      <c r="I757" s="1" t="s">
        <v>1767</v>
      </c>
      <c r="J757" s="7" t="s">
        <v>2520</v>
      </c>
      <c r="K757" s="17">
        <v>1368</v>
      </c>
      <c r="L757" t="str">
        <f ca="1">+IF(TODAY()-ICETEX[[#This Row],[fecha_ultimo_movimiento]]&gt;360,"Inactivo","Activo")</f>
        <v>Inactivo</v>
      </c>
      <c r="M757" s="24">
        <f>+VLOOKUP(ICETEX[[#This Row],[fecha_ultimo_movimiento]],UVR!A:B,2,0)</f>
        <v>286.11559999999997</v>
      </c>
      <c r="N757" s="24">
        <v>108</v>
      </c>
      <c r="O757" t="s">
        <v>3265</v>
      </c>
    </row>
    <row r="758" spans="1:15" ht="15" thickBot="1">
      <c r="A758" s="6">
        <v>757</v>
      </c>
      <c r="B758" s="1" t="s">
        <v>2521</v>
      </c>
      <c r="C758" s="1" t="s">
        <v>2522</v>
      </c>
      <c r="D758" s="2">
        <v>42000424</v>
      </c>
      <c r="E758" s="1" t="s">
        <v>45</v>
      </c>
      <c r="F758" s="25">
        <v>82766.3</v>
      </c>
      <c r="G758" s="4">
        <v>44503</v>
      </c>
      <c r="H758" s="4">
        <v>42764</v>
      </c>
      <c r="I758" s="1" t="s">
        <v>538</v>
      </c>
      <c r="J758" s="7" t="s">
        <v>2523</v>
      </c>
      <c r="K758" s="17">
        <v>1334</v>
      </c>
      <c r="L758" t="str">
        <f ca="1">+IF(TODAY()-ICETEX[[#This Row],[fecha_ultimo_movimiento]]&gt;360,"Inactivo","Activo")</f>
        <v>Inactivo</v>
      </c>
      <c r="M758" s="24">
        <f>+VLOOKUP(ICETEX[[#This Row],[fecha_ultimo_movimiento]],UVR!A:B,2,0)</f>
        <v>287.42599999999999</v>
      </c>
      <c r="N758" s="24">
        <v>288</v>
      </c>
      <c r="O758" t="s">
        <v>3265</v>
      </c>
    </row>
    <row r="759" spans="1:15" ht="26.5" thickBot="1">
      <c r="A759" s="6">
        <v>758</v>
      </c>
      <c r="B759" s="1" t="s">
        <v>2524</v>
      </c>
      <c r="C759" s="1" t="s">
        <v>2525</v>
      </c>
      <c r="D759" s="2">
        <v>321170444</v>
      </c>
      <c r="E759" s="1" t="s">
        <v>45</v>
      </c>
      <c r="F759" s="25">
        <v>181329.85</v>
      </c>
      <c r="G759" s="4">
        <v>44413</v>
      </c>
      <c r="H759" s="4">
        <v>43106</v>
      </c>
      <c r="I759" s="1" t="s">
        <v>357</v>
      </c>
      <c r="J759" s="7" t="s">
        <v>2526</v>
      </c>
      <c r="K759" s="17">
        <v>1424</v>
      </c>
      <c r="L759" t="str">
        <f ca="1">+IF(TODAY()-ICETEX[[#This Row],[fecha_ultimo_movimiento]]&gt;360,"Inactivo","Activo")</f>
        <v>Inactivo</v>
      </c>
      <c r="M759" s="24">
        <f>+VLOOKUP(ICETEX[[#This Row],[fecha_ultimo_movimiento]],UVR!A:B,2,0)</f>
        <v>284.60939999999999</v>
      </c>
      <c r="N759" s="24">
        <v>637</v>
      </c>
      <c r="O759" t="s">
        <v>3264</v>
      </c>
    </row>
    <row r="760" spans="1:15" ht="15" thickBot="1">
      <c r="A760" s="6">
        <v>759</v>
      </c>
      <c r="B760" s="1" t="s">
        <v>2527</v>
      </c>
      <c r="C760" s="1" t="s">
        <v>2528</v>
      </c>
      <c r="D760" s="2">
        <v>11000206</v>
      </c>
      <c r="E760" s="1" t="s">
        <v>45</v>
      </c>
      <c r="F760" s="25">
        <v>198447.14</v>
      </c>
      <c r="G760" s="4">
        <v>45483</v>
      </c>
      <c r="H760" s="4">
        <v>42962</v>
      </c>
      <c r="I760" s="1" t="s">
        <v>13</v>
      </c>
      <c r="J760" s="7" t="s">
        <v>2529</v>
      </c>
      <c r="K760" s="17">
        <v>354</v>
      </c>
      <c r="L760" t="str">
        <f ca="1">+IF(TODAY()-ICETEX[[#This Row],[fecha_ultimo_movimiento]]&gt;360,"Inactivo","Activo")</f>
        <v>Activo</v>
      </c>
      <c r="M760" s="24">
        <f>+VLOOKUP(ICETEX[[#This Row],[fecha_ultimo_movimiento]],UVR!A:B,2,0)</f>
        <v>373.62610000000001</v>
      </c>
      <c r="N760" s="24">
        <v>531</v>
      </c>
      <c r="O760" t="s">
        <v>3264</v>
      </c>
    </row>
    <row r="761" spans="1:15" ht="15" thickBot="1">
      <c r="A761" s="6">
        <v>760</v>
      </c>
      <c r="B761" s="1" t="s">
        <v>2530</v>
      </c>
      <c r="C761" s="1" t="s">
        <v>2531</v>
      </c>
      <c r="D761" s="2">
        <v>72409888</v>
      </c>
      <c r="E761" s="1" t="s">
        <v>45</v>
      </c>
      <c r="F761" s="25">
        <v>135489.9</v>
      </c>
      <c r="G761" s="4">
        <v>44394</v>
      </c>
      <c r="H761" s="4">
        <v>43028</v>
      </c>
      <c r="I761" s="1" t="s">
        <v>131</v>
      </c>
      <c r="J761" s="7" t="s">
        <v>2532</v>
      </c>
      <c r="K761" s="17">
        <v>1443</v>
      </c>
      <c r="L761" t="str">
        <f ca="1">+IF(TODAY()-ICETEX[[#This Row],[fecha_ultimo_movimiento]]&gt;360,"Inactivo","Activo")</f>
        <v>Inactivo</v>
      </c>
      <c r="M761" s="24">
        <f>+VLOOKUP(ICETEX[[#This Row],[fecha_ultimo_movimiento]],UVR!A:B,2,0)</f>
        <v>284.69659999999999</v>
      </c>
      <c r="N761" s="24">
        <v>476</v>
      </c>
      <c r="O761" t="s">
        <v>3264</v>
      </c>
    </row>
    <row r="762" spans="1:15" ht="15" thickBot="1">
      <c r="A762" s="6">
        <v>761</v>
      </c>
      <c r="B762" s="1" t="s">
        <v>2533</v>
      </c>
      <c r="C762" s="1" t="s">
        <v>2534</v>
      </c>
      <c r="D762" s="2">
        <v>122238543</v>
      </c>
      <c r="E762" s="1" t="s">
        <v>45</v>
      </c>
      <c r="F762" s="25">
        <v>119971.01</v>
      </c>
      <c r="G762" s="4">
        <v>44098</v>
      </c>
      <c r="H762" s="4">
        <v>43266</v>
      </c>
      <c r="I762" s="1" t="s">
        <v>495</v>
      </c>
      <c r="J762" s="7" t="s">
        <v>2535</v>
      </c>
      <c r="K762" s="17">
        <v>1739</v>
      </c>
      <c r="L762" t="str">
        <f ca="1">+IF(TODAY()-ICETEX[[#This Row],[fecha_ultimo_movimiento]]&gt;360,"Inactivo","Activo")</f>
        <v>Inactivo</v>
      </c>
      <c r="M762" s="24">
        <f>+VLOOKUP(ICETEX[[#This Row],[fecha_ultimo_movimiento]],UVR!A:B,2,0)</f>
        <v>274.58179999999999</v>
      </c>
      <c r="N762" s="24">
        <v>437</v>
      </c>
      <c r="O762" t="s">
        <v>3264</v>
      </c>
    </row>
    <row r="763" spans="1:15" ht="15" thickBot="1">
      <c r="A763" s="6">
        <v>762</v>
      </c>
      <c r="B763" s="1" t="s">
        <v>2536</v>
      </c>
      <c r="C763" s="1" t="s">
        <v>2537</v>
      </c>
      <c r="D763" s="2">
        <v>64108605</v>
      </c>
      <c r="E763" s="1" t="s">
        <v>45</v>
      </c>
      <c r="F763" s="25">
        <v>18363.48</v>
      </c>
      <c r="G763" s="4">
        <v>44195</v>
      </c>
      <c r="H763" s="4">
        <v>43288</v>
      </c>
      <c r="I763" s="1" t="s">
        <v>2538</v>
      </c>
      <c r="J763" s="7" t="s">
        <v>2539</v>
      </c>
      <c r="K763" s="17">
        <v>1642</v>
      </c>
      <c r="L763" t="str">
        <f ca="1">+IF(TODAY()-ICETEX[[#This Row],[fecha_ultimo_movimiento]]&gt;360,"Inactivo","Activo")</f>
        <v>Inactivo</v>
      </c>
      <c r="M763" s="24">
        <f>+VLOOKUP(ICETEX[[#This Row],[fecha_ultimo_movimiento]],UVR!A:B,2,0)</f>
        <v>275.07589999999999</v>
      </c>
      <c r="N763" s="24">
        <v>67</v>
      </c>
      <c r="O763" t="s">
        <v>3265</v>
      </c>
    </row>
    <row r="764" spans="1:15" ht="15" thickBot="1">
      <c r="A764" s="6">
        <v>763</v>
      </c>
      <c r="B764" s="1" t="s">
        <v>2540</v>
      </c>
      <c r="C764" s="1" t="s">
        <v>2541</v>
      </c>
      <c r="D764" s="2">
        <v>82901839</v>
      </c>
      <c r="E764" s="1" t="s">
        <v>12</v>
      </c>
      <c r="F764" s="25">
        <v>194769.52</v>
      </c>
      <c r="G764" s="4">
        <v>44548</v>
      </c>
      <c r="H764" s="4">
        <v>42376</v>
      </c>
      <c r="I764" s="1" t="s">
        <v>390</v>
      </c>
      <c r="J764" s="7" t="s">
        <v>2154</v>
      </c>
      <c r="K764" s="17">
        <v>1289</v>
      </c>
      <c r="L764" t="str">
        <f ca="1">+IF(TODAY()-ICETEX[[#This Row],[fecha_ultimo_movimiento]]&gt;360,"Inactivo","Activo")</f>
        <v>Inactivo</v>
      </c>
      <c r="M764" s="24">
        <f>+VLOOKUP(ICETEX[[#This Row],[fecha_ultimo_movimiento]],UVR!A:B,2,0)</f>
        <v>288.01609999999999</v>
      </c>
      <c r="N764" s="24">
        <v>676</v>
      </c>
      <c r="O764" t="s">
        <v>3264</v>
      </c>
    </row>
    <row r="765" spans="1:15" ht="15" thickBot="1">
      <c r="A765" s="6">
        <v>764</v>
      </c>
      <c r="B765" s="1" t="s">
        <v>2207</v>
      </c>
      <c r="C765" s="1" t="s">
        <v>2542</v>
      </c>
      <c r="D765" s="2">
        <v>53202279</v>
      </c>
      <c r="E765" s="1" t="s">
        <v>12</v>
      </c>
      <c r="F765" s="25">
        <v>170009.61</v>
      </c>
      <c r="G765" s="4">
        <v>43994</v>
      </c>
      <c r="H765" s="4">
        <v>42937</v>
      </c>
      <c r="I765" s="1" t="s">
        <v>167</v>
      </c>
      <c r="J765" s="8" t="s">
        <v>2543</v>
      </c>
      <c r="K765" s="17">
        <v>1843</v>
      </c>
      <c r="L765" t="str">
        <f ca="1">+IF(TODAY()-ICETEX[[#This Row],[fecha_ultimo_movimiento]]&gt;360,"Inactivo","Activo")</f>
        <v>Inactivo</v>
      </c>
      <c r="M765" s="24">
        <f>+VLOOKUP(ICETEX[[#This Row],[fecha_ultimo_movimiento]],UVR!A:B,2,0)</f>
        <v>276.4796</v>
      </c>
      <c r="N765" s="24">
        <v>615</v>
      </c>
      <c r="O765" t="s">
        <v>3264</v>
      </c>
    </row>
    <row r="766" spans="1:15" ht="15" thickBot="1">
      <c r="A766" s="6">
        <v>765</v>
      </c>
      <c r="B766" s="1" t="s">
        <v>2544</v>
      </c>
      <c r="C766" s="1" t="s">
        <v>2545</v>
      </c>
      <c r="D766" s="2">
        <v>91206389</v>
      </c>
      <c r="E766" s="1" t="s">
        <v>12</v>
      </c>
      <c r="F766" s="25">
        <v>75783.47</v>
      </c>
      <c r="G766" s="4">
        <v>43949</v>
      </c>
      <c r="H766" s="4">
        <v>42848</v>
      </c>
      <c r="I766" s="1" t="s">
        <v>2546</v>
      </c>
      <c r="J766" s="7" t="s">
        <v>2547</v>
      </c>
      <c r="K766" s="17">
        <v>1888</v>
      </c>
      <c r="L766" t="str">
        <f ca="1">+IF(TODAY()-ICETEX[[#This Row],[fecha_ultimo_movimiento]]&gt;360,"Inactivo","Activo")</f>
        <v>Inactivo</v>
      </c>
      <c r="M766" s="24">
        <f>+VLOOKUP(ICETEX[[#This Row],[fecha_ultimo_movimiento]],UVR!A:B,2,0)</f>
        <v>275.19290000000001</v>
      </c>
      <c r="N766" s="24">
        <v>275</v>
      </c>
      <c r="O766" t="s">
        <v>3265</v>
      </c>
    </row>
    <row r="767" spans="1:15" ht="15" thickBot="1">
      <c r="A767" s="6">
        <v>766</v>
      </c>
      <c r="B767" s="1" t="s">
        <v>2548</v>
      </c>
      <c r="C767" s="1" t="s">
        <v>2549</v>
      </c>
      <c r="D767" s="2">
        <v>121141288</v>
      </c>
      <c r="E767" s="1" t="s">
        <v>12</v>
      </c>
      <c r="F767" s="25">
        <v>176101.31</v>
      </c>
      <c r="G767" s="4">
        <v>44515</v>
      </c>
      <c r="H767" s="4">
        <v>43434</v>
      </c>
      <c r="I767" s="1" t="s">
        <v>217</v>
      </c>
      <c r="J767" s="7" t="s">
        <v>2550</v>
      </c>
      <c r="K767" s="17">
        <v>1322</v>
      </c>
      <c r="L767" t="str">
        <f ca="1">+IF(TODAY()-ICETEX[[#This Row],[fecha_ultimo_movimiento]]&gt;360,"Inactivo","Activo")</f>
        <v>Inactivo</v>
      </c>
      <c r="M767" s="24">
        <f>+VLOOKUP(ICETEX[[#This Row],[fecha_ultimo_movimiento]],UVR!A:B,2,0)</f>
        <v>287.84829999999999</v>
      </c>
      <c r="N767" s="24">
        <v>612</v>
      </c>
      <c r="O767" t="s">
        <v>3264</v>
      </c>
    </row>
    <row r="768" spans="1:15" ht="15" thickBot="1">
      <c r="A768" s="6">
        <v>767</v>
      </c>
      <c r="B768" s="1" t="s">
        <v>48</v>
      </c>
      <c r="C768" s="1" t="s">
        <v>2551</v>
      </c>
      <c r="D768" s="2">
        <v>322285846</v>
      </c>
      <c r="E768" s="1" t="s">
        <v>12</v>
      </c>
      <c r="F768" s="25">
        <v>19413.36</v>
      </c>
      <c r="G768" s="4">
        <v>45068</v>
      </c>
      <c r="H768" s="4">
        <v>43202</v>
      </c>
      <c r="I768" s="1" t="s">
        <v>419</v>
      </c>
      <c r="J768" s="8" t="s">
        <v>2329</v>
      </c>
      <c r="K768" s="17">
        <v>769</v>
      </c>
      <c r="L768" t="str">
        <f ca="1">+IF(TODAY()-ICETEX[[#This Row],[fecha_ultimo_movimiento]]&gt;360,"Inactivo","Activo")</f>
        <v>Inactivo</v>
      </c>
      <c r="M768" s="24">
        <f>+VLOOKUP(ICETEX[[#This Row],[fecha_ultimo_movimiento]],UVR!A:B,2,0)</f>
        <v>345.32870000000003</v>
      </c>
      <c r="N768" s="24">
        <v>56</v>
      </c>
      <c r="O768" t="s">
        <v>3265</v>
      </c>
    </row>
    <row r="769" spans="1:15" ht="15" thickBot="1">
      <c r="A769" s="6">
        <v>768</v>
      </c>
      <c r="B769" s="1" t="s">
        <v>2552</v>
      </c>
      <c r="C769" s="1" t="s">
        <v>2553</v>
      </c>
      <c r="D769" s="2">
        <v>101218856</v>
      </c>
      <c r="E769" s="1" t="s">
        <v>45</v>
      </c>
      <c r="F769" s="25">
        <v>127278.95</v>
      </c>
      <c r="G769" s="4">
        <v>44856</v>
      </c>
      <c r="H769" s="4">
        <v>43162</v>
      </c>
      <c r="I769" s="1" t="s">
        <v>471</v>
      </c>
      <c r="J769" s="7" t="s">
        <v>2554</v>
      </c>
      <c r="K769" s="17">
        <v>981</v>
      </c>
      <c r="L769" t="str">
        <f ca="1">+IF(TODAY()-ICETEX[[#This Row],[fecha_ultimo_movimiento]]&gt;360,"Inactivo","Activo")</f>
        <v>Inactivo</v>
      </c>
      <c r="M769" s="24">
        <f>+VLOOKUP(ICETEX[[#This Row],[fecha_ultimo_movimiento]],UVR!A:B,2,0)</f>
        <v>318.51089999999999</v>
      </c>
      <c r="N769" s="24">
        <v>400</v>
      </c>
      <c r="O769" t="s">
        <v>3264</v>
      </c>
    </row>
    <row r="770" spans="1:15" ht="15" thickBot="1">
      <c r="A770" s="6">
        <v>769</v>
      </c>
      <c r="B770" s="1" t="s">
        <v>2555</v>
      </c>
      <c r="C770" s="1" t="s">
        <v>2556</v>
      </c>
      <c r="D770" s="2">
        <v>63114632</v>
      </c>
      <c r="E770" s="1" t="s">
        <v>12</v>
      </c>
      <c r="F770" s="25">
        <v>190749.89</v>
      </c>
      <c r="G770" s="4">
        <v>45631</v>
      </c>
      <c r="H770" s="4">
        <v>42777</v>
      </c>
      <c r="I770" s="1" t="s">
        <v>147</v>
      </c>
      <c r="J770" s="7" t="s">
        <v>2557</v>
      </c>
      <c r="K770" s="17">
        <v>206</v>
      </c>
      <c r="L770" t="str">
        <f ca="1">+IF(TODAY()-ICETEX[[#This Row],[fecha_ultimo_movimiento]]&gt;360,"Inactivo","Activo")</f>
        <v>Activo</v>
      </c>
      <c r="M770" s="24">
        <f>+VLOOKUP(ICETEX[[#This Row],[fecha_ultimo_movimiento]],UVR!A:B,2,0)</f>
        <v>376.41550000000001</v>
      </c>
      <c r="N770" s="24">
        <v>507</v>
      </c>
      <c r="O770" t="s">
        <v>3264</v>
      </c>
    </row>
    <row r="771" spans="1:15" ht="15" thickBot="1">
      <c r="A771" s="6">
        <v>770</v>
      </c>
      <c r="B771" s="1" t="s">
        <v>2022</v>
      </c>
      <c r="C771" s="1" t="s">
        <v>2558</v>
      </c>
      <c r="D771" s="2">
        <v>121141107</v>
      </c>
      <c r="E771" s="1" t="s">
        <v>45</v>
      </c>
      <c r="F771" s="25">
        <v>80032.22</v>
      </c>
      <c r="G771" s="4">
        <v>44488</v>
      </c>
      <c r="H771" s="4">
        <v>43092</v>
      </c>
      <c r="I771" s="1" t="s">
        <v>193</v>
      </c>
      <c r="J771" s="7" t="s">
        <v>2559</v>
      </c>
      <c r="K771" s="17">
        <v>1349</v>
      </c>
      <c r="L771" t="str">
        <f ca="1">+IF(TODAY()-ICETEX[[#This Row],[fecha_ultimo_movimiento]]&gt;360,"Inactivo","Activo")</f>
        <v>Inactivo</v>
      </c>
      <c r="M771" s="24">
        <f>+VLOOKUP(ICETEX[[#This Row],[fecha_ultimo_movimiento]],UVR!A:B,2,0)</f>
        <v>286.899</v>
      </c>
      <c r="N771" s="24">
        <v>279</v>
      </c>
      <c r="O771" t="s">
        <v>3265</v>
      </c>
    </row>
    <row r="772" spans="1:15" ht="15" thickBot="1">
      <c r="A772" s="6">
        <v>771</v>
      </c>
      <c r="B772" s="1" t="s">
        <v>1579</v>
      </c>
      <c r="C772" s="1" t="s">
        <v>2560</v>
      </c>
      <c r="D772" s="2">
        <v>113122804</v>
      </c>
      <c r="E772" s="1" t="s">
        <v>12</v>
      </c>
      <c r="F772" s="25">
        <v>69143.27</v>
      </c>
      <c r="G772" s="4">
        <v>44594</v>
      </c>
      <c r="H772" s="4">
        <v>42921</v>
      </c>
      <c r="I772" s="1" t="s">
        <v>2561</v>
      </c>
      <c r="J772" s="7" t="s">
        <v>2562</v>
      </c>
      <c r="K772" s="17">
        <v>1243</v>
      </c>
      <c r="L772" t="str">
        <f ca="1">+IF(TODAY()-ICETEX[[#This Row],[fecha_ultimo_movimiento]]&gt;360,"Inactivo","Activo")</f>
        <v>Inactivo</v>
      </c>
      <c r="M772" s="24">
        <f>+VLOOKUP(ICETEX[[#This Row],[fecha_ultimo_movimiento]],UVR!A:B,2,0)</f>
        <v>290.541</v>
      </c>
      <c r="N772" s="24">
        <v>238</v>
      </c>
      <c r="O772" t="s">
        <v>3265</v>
      </c>
    </row>
    <row r="773" spans="1:15" ht="15" thickBot="1">
      <c r="A773" s="6">
        <v>772</v>
      </c>
      <c r="B773" s="1" t="s">
        <v>2563</v>
      </c>
      <c r="C773" s="1" t="s">
        <v>2564</v>
      </c>
      <c r="D773" s="2">
        <v>111901580</v>
      </c>
      <c r="E773" s="1" t="s">
        <v>45</v>
      </c>
      <c r="F773" s="25">
        <v>101735.86</v>
      </c>
      <c r="G773" s="4">
        <v>43889</v>
      </c>
      <c r="H773" s="4">
        <v>43327</v>
      </c>
      <c r="I773" s="1" t="s">
        <v>1989</v>
      </c>
      <c r="J773" s="8" t="s">
        <v>766</v>
      </c>
      <c r="K773" s="17">
        <v>1948</v>
      </c>
      <c r="L773" t="str">
        <f ca="1">+IF(TODAY()-ICETEX[[#This Row],[fecha_ultimo_movimiento]]&gt;360,"Inactivo","Activo")</f>
        <v>Inactivo</v>
      </c>
      <c r="M773" s="24">
        <f>+VLOOKUP(ICETEX[[#This Row],[fecha_ultimo_movimiento]],UVR!A:B,2,0)</f>
        <v>272.0591</v>
      </c>
      <c r="N773" s="24">
        <v>374</v>
      </c>
      <c r="O773" t="s">
        <v>3264</v>
      </c>
    </row>
    <row r="774" spans="1:15" ht="15" thickBot="1">
      <c r="A774" s="6">
        <v>773</v>
      </c>
      <c r="B774" s="1" t="s">
        <v>2565</v>
      </c>
      <c r="C774" s="1" t="s">
        <v>2566</v>
      </c>
      <c r="D774" s="2">
        <v>81519507</v>
      </c>
      <c r="E774" s="1" t="s">
        <v>12</v>
      </c>
      <c r="F774" s="25">
        <v>139188.70000000001</v>
      </c>
      <c r="G774" s="4">
        <v>45809</v>
      </c>
      <c r="H774" s="4">
        <v>42698</v>
      </c>
      <c r="I774" s="1" t="s">
        <v>2567</v>
      </c>
      <c r="J774" s="7" t="s">
        <v>2568</v>
      </c>
      <c r="K774" s="17">
        <v>28</v>
      </c>
      <c r="L774" t="str">
        <f ca="1">+IF(TODAY()-ICETEX[[#This Row],[fecha_ultimo_movimiento]]&gt;360,"Inactivo","Activo")</f>
        <v>Activo</v>
      </c>
      <c r="M774" s="24">
        <f>+VLOOKUP(ICETEX[[#This Row],[fecha_ultimo_movimiento]],UVR!A:B,2,0)</f>
        <v>390.3451</v>
      </c>
      <c r="N774" s="24">
        <v>357</v>
      </c>
      <c r="O774" t="s">
        <v>3264</v>
      </c>
    </row>
    <row r="775" spans="1:15" ht="15" thickBot="1">
      <c r="A775" s="6">
        <v>774</v>
      </c>
      <c r="B775" s="1" t="s">
        <v>2569</v>
      </c>
      <c r="C775" s="1" t="s">
        <v>2570</v>
      </c>
      <c r="D775" s="2">
        <v>41201512</v>
      </c>
      <c r="E775" s="1" t="s">
        <v>12</v>
      </c>
      <c r="F775" s="25">
        <v>100392.42</v>
      </c>
      <c r="G775" s="4">
        <v>45363</v>
      </c>
      <c r="H775" s="4">
        <v>42681</v>
      </c>
      <c r="I775" s="1" t="s">
        <v>37</v>
      </c>
      <c r="J775" s="7" t="s">
        <v>2571</v>
      </c>
      <c r="K775" s="17">
        <v>474</v>
      </c>
      <c r="L775" t="str">
        <f ca="1">+IF(TODAY()-ICETEX[[#This Row],[fecha_ultimo_movimiento]]&gt;360,"Inactivo","Activo")</f>
        <v>Inactivo</v>
      </c>
      <c r="M775" s="24">
        <f>+VLOOKUP(ICETEX[[#This Row],[fecha_ultimo_movimiento]],UVR!A:B,2,0)</f>
        <v>363.22890000000001</v>
      </c>
      <c r="N775" s="24">
        <v>276</v>
      </c>
      <c r="O775" t="s">
        <v>3265</v>
      </c>
    </row>
    <row r="776" spans="1:15" ht="15" thickBot="1">
      <c r="A776" s="6">
        <v>775</v>
      </c>
      <c r="B776" s="1" t="s">
        <v>2572</v>
      </c>
      <c r="C776" s="1" t="s">
        <v>2573</v>
      </c>
      <c r="D776" s="2">
        <v>221270347</v>
      </c>
      <c r="E776" s="1" t="s">
        <v>12</v>
      </c>
      <c r="F776" s="25">
        <v>129104.32000000001</v>
      </c>
      <c r="G776" s="4">
        <v>45402</v>
      </c>
      <c r="H776" s="4">
        <v>42477</v>
      </c>
      <c r="I776" s="1" t="s">
        <v>13</v>
      </c>
      <c r="J776" s="7" t="s">
        <v>2574</v>
      </c>
      <c r="K776" s="17">
        <v>435</v>
      </c>
      <c r="L776" t="str">
        <f ca="1">+IF(TODAY()-ICETEX[[#This Row],[fecha_ultimo_movimiento]]&gt;360,"Inactivo","Activo")</f>
        <v>Inactivo</v>
      </c>
      <c r="M776" s="24">
        <f>+VLOOKUP(ICETEX[[#This Row],[fecha_ultimo_movimiento]],UVR!A:B,2,0)</f>
        <v>367.96359999999999</v>
      </c>
      <c r="N776" s="24">
        <v>351</v>
      </c>
      <c r="O776" t="s">
        <v>3264</v>
      </c>
    </row>
    <row r="777" spans="1:15" ht="15" thickBot="1">
      <c r="A777" s="6">
        <v>776</v>
      </c>
      <c r="B777" s="1" t="s">
        <v>2575</v>
      </c>
      <c r="C777" s="1" t="s">
        <v>2576</v>
      </c>
      <c r="D777" s="2">
        <v>71921396</v>
      </c>
      <c r="E777" s="1" t="s">
        <v>45</v>
      </c>
      <c r="F777" s="25">
        <v>140180.95000000001</v>
      </c>
      <c r="G777" s="4">
        <v>45497</v>
      </c>
      <c r="H777" s="4">
        <v>42710</v>
      </c>
      <c r="I777" s="1" t="s">
        <v>127</v>
      </c>
      <c r="J777" s="7" t="s">
        <v>2577</v>
      </c>
      <c r="K777" s="17">
        <v>340</v>
      </c>
      <c r="L777" t="str">
        <f ca="1">+IF(TODAY()-ICETEX[[#This Row],[fecha_ultimo_movimiento]]&gt;360,"Inactivo","Activo")</f>
        <v>Activo</v>
      </c>
      <c r="M777" s="24">
        <f>+VLOOKUP(ICETEX[[#This Row],[fecha_ultimo_movimiento]],UVR!A:B,2,0)</f>
        <v>374.24040000000002</v>
      </c>
      <c r="N777" s="24">
        <v>375</v>
      </c>
      <c r="O777" t="s">
        <v>3264</v>
      </c>
    </row>
    <row r="778" spans="1:15" ht="15" thickBot="1">
      <c r="A778" s="6">
        <v>777</v>
      </c>
      <c r="B778" s="1" t="s">
        <v>2578</v>
      </c>
      <c r="C778" s="1" t="s">
        <v>2579</v>
      </c>
      <c r="D778" s="2">
        <v>11200365</v>
      </c>
      <c r="E778" s="1" t="s">
        <v>12</v>
      </c>
      <c r="F778" s="25">
        <v>216812.87</v>
      </c>
      <c r="G778" s="4">
        <v>45394</v>
      </c>
      <c r="H778" s="4">
        <v>42426</v>
      </c>
      <c r="I778" s="1" t="s">
        <v>762</v>
      </c>
      <c r="J778" s="7" t="s">
        <v>2580</v>
      </c>
      <c r="K778" s="17">
        <v>443</v>
      </c>
      <c r="L778" t="str">
        <f ca="1">+IF(TODAY()-ICETEX[[#This Row],[fecha_ultimo_movimiento]]&gt;360,"Inactivo","Activo")</f>
        <v>Inactivo</v>
      </c>
      <c r="M778" s="24">
        <f>+VLOOKUP(ICETEX[[#This Row],[fecha_ultimo_movimiento]],UVR!A:B,2,0)</f>
        <v>367.1508</v>
      </c>
      <c r="N778" s="24">
        <v>591</v>
      </c>
      <c r="O778" t="s">
        <v>3264</v>
      </c>
    </row>
    <row r="779" spans="1:15" ht="15" thickBot="1">
      <c r="A779" s="6">
        <v>778</v>
      </c>
      <c r="B779" s="1" t="s">
        <v>2581</v>
      </c>
      <c r="C779" s="1" t="s">
        <v>2582</v>
      </c>
      <c r="D779" s="2">
        <v>21206715</v>
      </c>
      <c r="E779" s="1" t="s">
        <v>12</v>
      </c>
      <c r="F779" s="25">
        <v>138396.91</v>
      </c>
      <c r="G779" s="4">
        <v>45252</v>
      </c>
      <c r="H779" s="4">
        <v>43136</v>
      </c>
      <c r="I779" s="1" t="s">
        <v>447</v>
      </c>
      <c r="J779" s="7" t="s">
        <v>2583</v>
      </c>
      <c r="K779" s="17">
        <v>585</v>
      </c>
      <c r="L779" t="str">
        <f ca="1">+IF(TODAY()-ICETEX[[#This Row],[fecha_ultimo_movimiento]]&gt;360,"Inactivo","Activo")</f>
        <v>Inactivo</v>
      </c>
      <c r="M779" s="24">
        <f>+VLOOKUP(ICETEX[[#This Row],[fecha_ultimo_movimiento]],UVR!A:B,2,0)</f>
        <v>356.28449999999998</v>
      </c>
      <c r="N779" s="24">
        <v>388</v>
      </c>
      <c r="O779" t="s">
        <v>3264</v>
      </c>
    </row>
    <row r="780" spans="1:15" ht="15" thickBot="1">
      <c r="A780" s="6">
        <v>779</v>
      </c>
      <c r="B780" s="1" t="s">
        <v>1040</v>
      </c>
      <c r="C780" s="1" t="s">
        <v>2584</v>
      </c>
      <c r="D780" s="2">
        <v>43315561</v>
      </c>
      <c r="E780" s="1" t="s">
        <v>12</v>
      </c>
      <c r="F780" s="25">
        <v>58959.27</v>
      </c>
      <c r="G780" s="4">
        <v>43927</v>
      </c>
      <c r="H780" s="4">
        <v>43397</v>
      </c>
      <c r="I780" s="1" t="s">
        <v>745</v>
      </c>
      <c r="J780" s="7" t="s">
        <v>2585</v>
      </c>
      <c r="K780" s="17">
        <v>1910</v>
      </c>
      <c r="L780" t="str">
        <f ca="1">+IF(TODAY()-ICETEX[[#This Row],[fecha_ultimo_movimiento]]&gt;360,"Inactivo","Activo")</f>
        <v>Inactivo</v>
      </c>
      <c r="M780" s="24">
        <f>+VLOOKUP(ICETEX[[#This Row],[fecha_ultimo_movimiento]],UVR!A:B,2,0)</f>
        <v>273.98419999999999</v>
      </c>
      <c r="N780" s="24">
        <v>215</v>
      </c>
      <c r="O780" t="s">
        <v>3265</v>
      </c>
    </row>
    <row r="781" spans="1:15" ht="15" thickBot="1">
      <c r="A781" s="6">
        <v>780</v>
      </c>
      <c r="B781" s="1" t="s">
        <v>2586</v>
      </c>
      <c r="C781" s="1" t="s">
        <v>2587</v>
      </c>
      <c r="D781" s="2">
        <v>122243172</v>
      </c>
      <c r="E781" s="1" t="s">
        <v>12</v>
      </c>
      <c r="F781" s="25">
        <v>82723.03</v>
      </c>
      <c r="G781" s="4">
        <v>45113</v>
      </c>
      <c r="H781" s="4">
        <v>42879</v>
      </c>
      <c r="I781" s="1" t="s">
        <v>947</v>
      </c>
      <c r="J781" s="7" t="s">
        <v>2588</v>
      </c>
      <c r="K781" s="17">
        <v>724</v>
      </c>
      <c r="L781" t="str">
        <f ca="1">+IF(TODAY()-ICETEX[[#This Row],[fecha_ultimo_movimiento]]&gt;360,"Inactivo","Activo")</f>
        <v>Inactivo</v>
      </c>
      <c r="M781" s="24">
        <f>+VLOOKUP(ICETEX[[#This Row],[fecha_ultimo_movimiento]],UVR!A:B,2,0)</f>
        <v>348.4572</v>
      </c>
      <c r="N781" s="24">
        <v>237</v>
      </c>
      <c r="O781" t="s">
        <v>3265</v>
      </c>
    </row>
    <row r="782" spans="1:15" ht="15" thickBot="1">
      <c r="A782" s="6">
        <v>781</v>
      </c>
      <c r="B782" s="1" t="s">
        <v>2589</v>
      </c>
      <c r="C782" s="1" t="s">
        <v>2590</v>
      </c>
      <c r="D782" s="2">
        <v>21200012</v>
      </c>
      <c r="E782" s="1" t="s">
        <v>45</v>
      </c>
      <c r="F782" s="25">
        <v>115483.17</v>
      </c>
      <c r="G782" s="4">
        <v>45158</v>
      </c>
      <c r="H782" s="4">
        <v>42784</v>
      </c>
      <c r="I782" s="1" t="s">
        <v>147</v>
      </c>
      <c r="J782" s="7" t="s">
        <v>2591</v>
      </c>
      <c r="K782" s="17">
        <v>679</v>
      </c>
      <c r="L782" t="str">
        <f ca="1">+IF(TODAY()-ICETEX[[#This Row],[fecha_ultimo_movimiento]]&gt;360,"Inactivo","Activo")</f>
        <v>Inactivo</v>
      </c>
      <c r="M782" s="24">
        <f>+VLOOKUP(ICETEX[[#This Row],[fecha_ultimo_movimiento]],UVR!A:B,2,0)</f>
        <v>350.23439999999999</v>
      </c>
      <c r="N782" s="24">
        <v>330</v>
      </c>
      <c r="O782" t="s">
        <v>3264</v>
      </c>
    </row>
    <row r="783" spans="1:15" ht="15" thickBot="1">
      <c r="A783" s="6">
        <v>782</v>
      </c>
      <c r="B783" s="1" t="s">
        <v>2592</v>
      </c>
      <c r="C783" s="1" t="s">
        <v>2593</v>
      </c>
      <c r="D783" s="2">
        <v>107006059</v>
      </c>
      <c r="E783" s="1" t="s">
        <v>12</v>
      </c>
      <c r="F783" s="25">
        <v>77766.47</v>
      </c>
      <c r="G783" s="4">
        <v>44164</v>
      </c>
      <c r="H783" s="4">
        <v>42598</v>
      </c>
      <c r="I783" s="1" t="s">
        <v>54</v>
      </c>
      <c r="J783" s="7" t="s">
        <v>2389</v>
      </c>
      <c r="K783" s="17">
        <v>1673</v>
      </c>
      <c r="L783" t="str">
        <f ca="1">+IF(TODAY()-ICETEX[[#This Row],[fecha_ultimo_movimiento]]&gt;360,"Inactivo","Activo")</f>
        <v>Inactivo</v>
      </c>
      <c r="M783" s="24">
        <f>+VLOOKUP(ICETEX[[#This Row],[fecha_ultimo_movimiento]],UVR!A:B,2,0)</f>
        <v>275.36399999999998</v>
      </c>
      <c r="N783" s="24">
        <v>282</v>
      </c>
      <c r="O783" t="s">
        <v>3265</v>
      </c>
    </row>
    <row r="784" spans="1:15" ht="26.5" thickBot="1">
      <c r="A784" s="6">
        <v>783</v>
      </c>
      <c r="B784" s="1" t="s">
        <v>2594</v>
      </c>
      <c r="C784" s="1" t="s">
        <v>2595</v>
      </c>
      <c r="D784" s="2">
        <v>67016105</v>
      </c>
      <c r="E784" s="1" t="s">
        <v>45</v>
      </c>
      <c r="F784" s="25">
        <v>142707.85999999999</v>
      </c>
      <c r="G784" s="4">
        <v>45382</v>
      </c>
      <c r="H784" s="4">
        <v>42417</v>
      </c>
      <c r="I784" s="1" t="s">
        <v>712</v>
      </c>
      <c r="J784" s="7" t="s">
        <v>1542</v>
      </c>
      <c r="K784" s="17">
        <v>455</v>
      </c>
      <c r="L784" t="str">
        <f ca="1">+IF(TODAY()-ICETEX[[#This Row],[fecha_ultimo_movimiento]]&gt;360,"Inactivo","Activo")</f>
        <v>Inactivo</v>
      </c>
      <c r="M784" s="24">
        <f>+VLOOKUP(ICETEX[[#This Row],[fecha_ultimo_movimiento]],UVR!A:B,2,0)</f>
        <v>365.61320000000001</v>
      </c>
      <c r="N784" s="24">
        <v>390</v>
      </c>
      <c r="O784" t="s">
        <v>3264</v>
      </c>
    </row>
    <row r="785" spans="1:15" ht="15" thickBot="1">
      <c r="A785" s="6">
        <v>784</v>
      </c>
      <c r="B785" s="1" t="s">
        <v>2596</v>
      </c>
      <c r="C785" s="1" t="s">
        <v>2597</v>
      </c>
      <c r="D785" s="2">
        <v>101005483</v>
      </c>
      <c r="E785" s="1" t="s">
        <v>45</v>
      </c>
      <c r="F785" s="25">
        <v>62310.71</v>
      </c>
      <c r="G785" s="4">
        <v>45401</v>
      </c>
      <c r="H785" s="4">
        <v>42689</v>
      </c>
      <c r="I785" s="1" t="s">
        <v>2598</v>
      </c>
      <c r="J785" s="7" t="s">
        <v>1235</v>
      </c>
      <c r="K785" s="17">
        <v>436</v>
      </c>
      <c r="L785" t="str">
        <f ca="1">+IF(TODAY()-ICETEX[[#This Row],[fecha_ultimo_movimiento]]&gt;360,"Inactivo","Activo")</f>
        <v>Inactivo</v>
      </c>
      <c r="M785" s="24">
        <f>+VLOOKUP(ICETEX[[#This Row],[fecha_ultimo_movimiento]],UVR!A:B,2,0)</f>
        <v>367.87810000000002</v>
      </c>
      <c r="N785" s="24">
        <v>169</v>
      </c>
      <c r="O785" t="s">
        <v>3265</v>
      </c>
    </row>
    <row r="786" spans="1:15" ht="15" thickBot="1">
      <c r="A786" s="6">
        <v>785</v>
      </c>
      <c r="B786" s="1" t="s">
        <v>2599</v>
      </c>
      <c r="C786" s="1" t="s">
        <v>2600</v>
      </c>
      <c r="D786" s="2">
        <v>82907736</v>
      </c>
      <c r="E786" s="1" t="s">
        <v>45</v>
      </c>
      <c r="F786" s="25">
        <v>184194.3</v>
      </c>
      <c r="G786" s="4">
        <v>45099</v>
      </c>
      <c r="H786" s="4">
        <v>43318</v>
      </c>
      <c r="I786" s="1" t="s">
        <v>2601</v>
      </c>
      <c r="J786" s="7" t="s">
        <v>1611</v>
      </c>
      <c r="K786" s="17">
        <v>738</v>
      </c>
      <c r="L786" t="str">
        <f ca="1">+IF(TODAY()-ICETEX[[#This Row],[fecha_ultimo_movimiento]]&gt;360,"Inactivo","Activo")</f>
        <v>Inactivo</v>
      </c>
      <c r="M786" s="24">
        <f>+VLOOKUP(ICETEX[[#This Row],[fecha_ultimo_movimiento]],UVR!A:B,2,0)</f>
        <v>347.7602</v>
      </c>
      <c r="N786" s="24">
        <v>530</v>
      </c>
      <c r="O786" t="s">
        <v>3264</v>
      </c>
    </row>
    <row r="787" spans="1:15" ht="15" thickBot="1">
      <c r="A787" s="6">
        <v>786</v>
      </c>
      <c r="B787" s="1" t="s">
        <v>2602</v>
      </c>
      <c r="C787" s="1" t="s">
        <v>2603</v>
      </c>
      <c r="D787" s="2">
        <v>53100559</v>
      </c>
      <c r="E787" s="1" t="s">
        <v>45</v>
      </c>
      <c r="F787" s="25">
        <v>86528.02</v>
      </c>
      <c r="G787" s="4">
        <v>44583</v>
      </c>
      <c r="H787" s="4">
        <v>43413</v>
      </c>
      <c r="I787" s="1" t="s">
        <v>13</v>
      </c>
      <c r="J787" s="7" t="s">
        <v>2604</v>
      </c>
      <c r="K787" s="17">
        <v>1254</v>
      </c>
      <c r="L787" t="str">
        <f ca="1">+IF(TODAY()-ICETEX[[#This Row],[fecha_ultimo_movimiento]]&gt;360,"Inactivo","Activo")</f>
        <v>Inactivo</v>
      </c>
      <c r="M787" s="24">
        <f>+VLOOKUP(ICETEX[[#This Row],[fecha_ultimo_movimiento]],UVR!A:B,2,0)</f>
        <v>289.7921</v>
      </c>
      <c r="N787" s="24">
        <v>299</v>
      </c>
      <c r="O787" t="s">
        <v>3265</v>
      </c>
    </row>
    <row r="788" spans="1:15" ht="15" thickBot="1">
      <c r="A788" s="6">
        <v>787</v>
      </c>
      <c r="B788" s="1" t="s">
        <v>2605</v>
      </c>
      <c r="C788" s="1" t="s">
        <v>2606</v>
      </c>
      <c r="D788" s="2">
        <v>114922980</v>
      </c>
      <c r="E788" s="1" t="s">
        <v>12</v>
      </c>
      <c r="F788" s="25">
        <v>173228.97</v>
      </c>
      <c r="G788" s="4">
        <v>44276</v>
      </c>
      <c r="H788" s="4">
        <v>42809</v>
      </c>
      <c r="I788" s="1" t="s">
        <v>534</v>
      </c>
      <c r="J788" s="7" t="s">
        <v>2607</v>
      </c>
      <c r="K788" s="17">
        <v>1561</v>
      </c>
      <c r="L788" t="str">
        <f ca="1">+IF(TODAY()-ICETEX[[#This Row],[fecha_ultimo_movimiento]]&gt;360,"Inactivo","Activo")</f>
        <v>Inactivo</v>
      </c>
      <c r="M788" s="24">
        <f>+VLOOKUP(ICETEX[[#This Row],[fecha_ultimo_movimiento]],UVR!A:B,2,0)</f>
        <v>277.3809</v>
      </c>
      <c r="N788" s="24">
        <v>625</v>
      </c>
      <c r="O788" t="s">
        <v>3264</v>
      </c>
    </row>
    <row r="789" spans="1:15" ht="15" thickBot="1">
      <c r="A789" s="6">
        <v>788</v>
      </c>
      <c r="B789" s="1" t="s">
        <v>2608</v>
      </c>
      <c r="C789" s="1" t="s">
        <v>2609</v>
      </c>
      <c r="D789" s="2">
        <v>81017711</v>
      </c>
      <c r="E789" s="1" t="s">
        <v>45</v>
      </c>
      <c r="F789" s="25">
        <v>162198.60999999999</v>
      </c>
      <c r="G789" s="4">
        <v>44763</v>
      </c>
      <c r="H789" s="4">
        <v>42462</v>
      </c>
      <c r="I789" s="1" t="s">
        <v>1351</v>
      </c>
      <c r="J789" s="7" t="s">
        <v>2610</v>
      </c>
      <c r="K789" s="17">
        <v>1074</v>
      </c>
      <c r="L789" t="str">
        <f ca="1">+IF(TODAY()-ICETEX[[#This Row],[fecha_ultimo_movimiento]]&gt;360,"Inactivo","Activo")</f>
        <v>Inactivo</v>
      </c>
      <c r="M789" s="24">
        <f>+VLOOKUP(ICETEX[[#This Row],[fecha_ultimo_movimiento]],UVR!A:B,2,0)</f>
        <v>310.8306</v>
      </c>
      <c r="N789" s="24">
        <v>522</v>
      </c>
      <c r="O789" t="s">
        <v>3264</v>
      </c>
    </row>
    <row r="790" spans="1:15" ht="15" thickBot="1">
      <c r="A790" s="6">
        <v>789</v>
      </c>
      <c r="B790" s="1" t="s">
        <v>2611</v>
      </c>
      <c r="C790" s="1" t="s">
        <v>2612</v>
      </c>
      <c r="D790" s="2">
        <v>123204071</v>
      </c>
      <c r="E790" s="1" t="s">
        <v>12</v>
      </c>
      <c r="F790" s="25">
        <v>197554.12</v>
      </c>
      <c r="G790" s="4">
        <v>44558</v>
      </c>
      <c r="H790" s="4">
        <v>42636</v>
      </c>
      <c r="I790" s="1" t="s">
        <v>263</v>
      </c>
      <c r="J790" s="7" t="s">
        <v>2276</v>
      </c>
      <c r="K790" s="17">
        <v>1279</v>
      </c>
      <c r="L790" t="str">
        <f ca="1">+IF(TODAY()-ICETEX[[#This Row],[fecha_ultimo_movimiento]]&gt;360,"Inactivo","Activo")</f>
        <v>Inactivo</v>
      </c>
      <c r="M790" s="24">
        <f>+VLOOKUP(ICETEX[[#This Row],[fecha_ultimo_movimiento]],UVR!A:B,2,0)</f>
        <v>288.47980000000001</v>
      </c>
      <c r="N790" s="24">
        <v>685</v>
      </c>
      <c r="O790" t="s">
        <v>3264</v>
      </c>
    </row>
    <row r="791" spans="1:15" ht="15" thickBot="1">
      <c r="A791" s="6">
        <v>790</v>
      </c>
      <c r="B791" s="1" t="s">
        <v>2613</v>
      </c>
      <c r="C791" s="1" t="s">
        <v>2614</v>
      </c>
      <c r="D791" s="2">
        <v>62201892</v>
      </c>
      <c r="E791" s="1" t="s">
        <v>45</v>
      </c>
      <c r="F791" s="25">
        <v>213679.23</v>
      </c>
      <c r="G791" s="4">
        <v>45512</v>
      </c>
      <c r="H791" s="4">
        <v>42376</v>
      </c>
      <c r="I791" s="1" t="s">
        <v>2615</v>
      </c>
      <c r="J791" s="7" t="s">
        <v>2616</v>
      </c>
      <c r="K791" s="17">
        <v>325</v>
      </c>
      <c r="L791" t="str">
        <f ca="1">+IF(TODAY()-ICETEX[[#This Row],[fecha_ultimo_movimiento]]&gt;360,"Inactivo","Activo")</f>
        <v>Activo</v>
      </c>
      <c r="M791" s="24">
        <f>+VLOOKUP(ICETEX[[#This Row],[fecha_ultimo_movimiento]],UVR!A:B,2,0)</f>
        <v>374.81939999999997</v>
      </c>
      <c r="N791" s="24">
        <v>570</v>
      </c>
      <c r="O791" t="s">
        <v>3264</v>
      </c>
    </row>
    <row r="792" spans="1:15" ht="15" thickBot="1">
      <c r="A792" s="6">
        <v>791</v>
      </c>
      <c r="B792" s="1" t="s">
        <v>2617</v>
      </c>
      <c r="C792" s="1" t="s">
        <v>2618</v>
      </c>
      <c r="D792" s="2">
        <v>44115760</v>
      </c>
      <c r="E792" s="1" t="s">
        <v>12</v>
      </c>
      <c r="F792" s="25">
        <v>200369.19</v>
      </c>
      <c r="G792" s="4">
        <v>43971</v>
      </c>
      <c r="H792" s="4">
        <v>43242</v>
      </c>
      <c r="I792" s="1" t="s">
        <v>131</v>
      </c>
      <c r="J792" s="7" t="s">
        <v>2619</v>
      </c>
      <c r="K792" s="17">
        <v>1866</v>
      </c>
      <c r="L792" t="str">
        <f ca="1">+IF(TODAY()-ICETEX[[#This Row],[fecha_ultimo_movimiento]]&gt;360,"Inactivo","Activo")</f>
        <v>Inactivo</v>
      </c>
      <c r="M792" s="24">
        <f>+VLOOKUP(ICETEX[[#This Row],[fecha_ultimo_movimiento]],UVR!A:B,2,0)</f>
        <v>276.15179999999998</v>
      </c>
      <c r="N792" s="24">
        <v>726</v>
      </c>
      <c r="O792" t="s">
        <v>3264</v>
      </c>
    </row>
    <row r="793" spans="1:15" ht="15" thickBot="1">
      <c r="A793" s="6">
        <v>792</v>
      </c>
      <c r="B793" s="1" t="s">
        <v>2620</v>
      </c>
      <c r="C793" s="1" t="s">
        <v>2621</v>
      </c>
      <c r="D793" s="2">
        <v>111322910</v>
      </c>
      <c r="E793" s="1" t="s">
        <v>12</v>
      </c>
      <c r="F793" s="25">
        <v>129790.2</v>
      </c>
      <c r="G793" s="4">
        <v>45819</v>
      </c>
      <c r="H793" s="4">
        <v>43000</v>
      </c>
      <c r="I793" s="1" t="s">
        <v>2622</v>
      </c>
      <c r="J793" s="7" t="s">
        <v>2623</v>
      </c>
      <c r="K793" s="17">
        <v>18</v>
      </c>
      <c r="L793" t="str">
        <f ca="1">+IF(TODAY()-ICETEX[[#This Row],[fecha_ultimo_movimiento]]&gt;360,"Inactivo","Activo")</f>
        <v>Activo</v>
      </c>
      <c r="M793" s="24">
        <f>+VLOOKUP(ICETEX[[#This Row],[fecha_ultimo_movimiento]],UVR!A:B,2,0)</f>
        <v>391.17430000000002</v>
      </c>
      <c r="N793" s="24">
        <v>332</v>
      </c>
      <c r="O793" t="s">
        <v>3264</v>
      </c>
    </row>
    <row r="794" spans="1:15" ht="15" thickBot="1">
      <c r="A794" s="6">
        <v>793</v>
      </c>
      <c r="B794" s="1" t="s">
        <v>2624</v>
      </c>
      <c r="C794" s="1" t="s">
        <v>2625</v>
      </c>
      <c r="D794" s="2">
        <v>62202134</v>
      </c>
      <c r="E794" s="1" t="s">
        <v>45</v>
      </c>
      <c r="F794" s="25">
        <v>188746.83</v>
      </c>
      <c r="G794" s="4">
        <v>45013</v>
      </c>
      <c r="H794" s="4">
        <v>43054</v>
      </c>
      <c r="I794" s="1" t="s">
        <v>25</v>
      </c>
      <c r="J794" s="8" t="s">
        <v>2626</v>
      </c>
      <c r="K794" s="17">
        <v>824</v>
      </c>
      <c r="L794" t="str">
        <f ca="1">+IF(TODAY()-ICETEX[[#This Row],[fecha_ultimo_movimiento]]&gt;360,"Inactivo","Activo")</f>
        <v>Inactivo</v>
      </c>
      <c r="M794" s="24">
        <f>+VLOOKUP(ICETEX[[#This Row],[fecha_ultimo_movimiento]],UVR!A:B,2,0)</f>
        <v>337.89569999999998</v>
      </c>
      <c r="N794" s="24">
        <v>559</v>
      </c>
      <c r="O794" t="s">
        <v>3264</v>
      </c>
    </row>
    <row r="795" spans="1:15" ht="15" thickBot="1">
      <c r="A795" s="6">
        <v>794</v>
      </c>
      <c r="B795" s="1" t="s">
        <v>2047</v>
      </c>
      <c r="C795" s="1" t="s">
        <v>2627</v>
      </c>
      <c r="D795" s="2">
        <v>102103287</v>
      </c>
      <c r="E795" s="1" t="s">
        <v>45</v>
      </c>
      <c r="F795" s="25">
        <v>207421.43</v>
      </c>
      <c r="G795" s="4">
        <v>45012</v>
      </c>
      <c r="H795" s="4">
        <v>42828</v>
      </c>
      <c r="I795" s="1" t="s">
        <v>2478</v>
      </c>
      <c r="J795" s="7" t="s">
        <v>2628</v>
      </c>
      <c r="K795" s="17">
        <v>825</v>
      </c>
      <c r="L795" t="str">
        <f ca="1">+IF(TODAY()-ICETEX[[#This Row],[fecha_ultimo_movimiento]]&gt;360,"Inactivo","Activo")</f>
        <v>Inactivo</v>
      </c>
      <c r="M795" s="24">
        <f>+VLOOKUP(ICETEX[[#This Row],[fecha_ultimo_movimiento]],UVR!A:B,2,0)</f>
        <v>337.71629999999999</v>
      </c>
      <c r="N795" s="24">
        <v>614</v>
      </c>
      <c r="O795" t="s">
        <v>3264</v>
      </c>
    </row>
    <row r="796" spans="1:15" ht="15" thickBot="1">
      <c r="A796" s="6">
        <v>795</v>
      </c>
      <c r="B796" s="1" t="s">
        <v>2629</v>
      </c>
      <c r="C796" s="1" t="s">
        <v>2630</v>
      </c>
      <c r="D796" s="2">
        <v>51409142</v>
      </c>
      <c r="E796" s="1" t="s">
        <v>45</v>
      </c>
      <c r="F796" s="25">
        <v>56709.85</v>
      </c>
      <c r="G796" s="4">
        <v>44580</v>
      </c>
      <c r="H796" s="4">
        <v>42964</v>
      </c>
      <c r="I796" s="1" t="s">
        <v>348</v>
      </c>
      <c r="J796" s="7" t="s">
        <v>2631</v>
      </c>
      <c r="K796" s="17">
        <v>1257</v>
      </c>
      <c r="L796" t="str">
        <f ca="1">+IF(TODAY()-ICETEX[[#This Row],[fecha_ultimo_movimiento]]&gt;360,"Inactivo","Activo")</f>
        <v>Inactivo</v>
      </c>
      <c r="M796" s="24">
        <f>+VLOOKUP(ICETEX[[#This Row],[fecha_ultimo_movimiento]],UVR!A:B,2,0)</f>
        <v>289.58819999999997</v>
      </c>
      <c r="N796" s="24">
        <v>196</v>
      </c>
      <c r="O796" t="s">
        <v>3265</v>
      </c>
    </row>
    <row r="797" spans="1:15" ht="15" thickBot="1">
      <c r="A797" s="6">
        <v>796</v>
      </c>
      <c r="B797" s="1" t="s">
        <v>169</v>
      </c>
      <c r="C797" s="1" t="s">
        <v>2632</v>
      </c>
      <c r="D797" s="2">
        <v>322270408</v>
      </c>
      <c r="E797" s="1" t="s">
        <v>12</v>
      </c>
      <c r="F797" s="25">
        <v>31573.439999999999</v>
      </c>
      <c r="G797" s="4">
        <v>44138</v>
      </c>
      <c r="H797" s="4">
        <v>42938</v>
      </c>
      <c r="I797" s="1" t="s">
        <v>25</v>
      </c>
      <c r="J797" s="7" t="s">
        <v>2633</v>
      </c>
      <c r="K797" s="17">
        <v>1699</v>
      </c>
      <c r="L797" t="str">
        <f ca="1">+IF(TODAY()-ICETEX[[#This Row],[fecha_ultimo_movimiento]]&gt;360,"Inactivo","Activo")</f>
        <v>Inactivo</v>
      </c>
      <c r="M797" s="24">
        <f>+VLOOKUP(ICETEX[[#This Row],[fecha_ultimo_movimiento]],UVR!A:B,2,0)</f>
        <v>275.10070000000002</v>
      </c>
      <c r="N797" s="24">
        <v>115</v>
      </c>
      <c r="O797" t="s">
        <v>3265</v>
      </c>
    </row>
    <row r="798" spans="1:15" ht="15" thickBot="1">
      <c r="A798" s="6">
        <v>797</v>
      </c>
      <c r="B798" s="1" t="s">
        <v>2634</v>
      </c>
      <c r="C798" s="1" t="s">
        <v>2635</v>
      </c>
      <c r="D798" s="2">
        <v>21309997</v>
      </c>
      <c r="E798" s="1" t="s">
        <v>45</v>
      </c>
      <c r="F798" s="25">
        <v>96342.74</v>
      </c>
      <c r="G798" s="4">
        <v>45636</v>
      </c>
      <c r="H798" s="4">
        <v>42546</v>
      </c>
      <c r="I798" s="1" t="s">
        <v>2636</v>
      </c>
      <c r="J798" s="7" t="s">
        <v>2637</v>
      </c>
      <c r="K798" s="17">
        <v>201</v>
      </c>
      <c r="L798" t="str">
        <f ca="1">+IF(TODAY()-ICETEX[[#This Row],[fecha_ultimo_movimiento]]&gt;360,"Inactivo","Activo")</f>
        <v>Activo</v>
      </c>
      <c r="M798" s="24">
        <f>+VLOOKUP(ICETEX[[#This Row],[fecha_ultimo_movimiento]],UVR!A:B,2,0)</f>
        <v>376.33390000000003</v>
      </c>
      <c r="N798" s="24">
        <v>256</v>
      </c>
      <c r="O798" t="s">
        <v>3264</v>
      </c>
    </row>
    <row r="799" spans="1:15" ht="15" thickBot="1">
      <c r="A799" s="6">
        <v>798</v>
      </c>
      <c r="B799" s="1" t="s">
        <v>2638</v>
      </c>
      <c r="C799" s="1" t="s">
        <v>2639</v>
      </c>
      <c r="D799" s="2">
        <v>107006392</v>
      </c>
      <c r="E799" s="1" t="s">
        <v>12</v>
      </c>
      <c r="F799" s="25">
        <v>90668.97</v>
      </c>
      <c r="G799" s="4">
        <v>45521</v>
      </c>
      <c r="H799" s="4">
        <v>42892</v>
      </c>
      <c r="I799" s="1" t="s">
        <v>54</v>
      </c>
      <c r="J799" s="7" t="s">
        <v>2640</v>
      </c>
      <c r="K799" s="17">
        <v>316</v>
      </c>
      <c r="L799" t="str">
        <f ca="1">+IF(TODAY()-ICETEX[[#This Row],[fecha_ultimo_movimiento]]&gt;360,"Inactivo","Activo")</f>
        <v>Activo</v>
      </c>
      <c r="M799" s="24">
        <f>+VLOOKUP(ICETEX[[#This Row],[fecha_ultimo_movimiento]],UVR!A:B,2,0)</f>
        <v>375.13830000000002</v>
      </c>
      <c r="N799" s="24">
        <v>242</v>
      </c>
      <c r="O799" t="s">
        <v>3264</v>
      </c>
    </row>
    <row r="800" spans="1:15" ht="15" thickBot="1">
      <c r="A800" s="6">
        <v>799</v>
      </c>
      <c r="B800" s="1" t="s">
        <v>2641</v>
      </c>
      <c r="C800" s="1" t="s">
        <v>2642</v>
      </c>
      <c r="D800" s="2">
        <v>61203338</v>
      </c>
      <c r="E800" s="1" t="s">
        <v>12</v>
      </c>
      <c r="F800" s="25">
        <v>139945.15</v>
      </c>
      <c r="G800" s="4">
        <v>44434</v>
      </c>
      <c r="H800" s="4">
        <v>43000</v>
      </c>
      <c r="I800" s="1" t="s">
        <v>2643</v>
      </c>
      <c r="J800" s="7" t="s">
        <v>2644</v>
      </c>
      <c r="K800" s="17">
        <v>1403</v>
      </c>
      <c r="L800" t="str">
        <f ca="1">+IF(TODAY()-ICETEX[[#This Row],[fecha_ultimo_movimiento]]&gt;360,"Inactivo","Activo")</f>
        <v>Inactivo</v>
      </c>
      <c r="M800" s="24">
        <f>+VLOOKUP(ICETEX[[#This Row],[fecha_ultimo_movimiento]],UVR!A:B,2,0)</f>
        <v>284.88619999999997</v>
      </c>
      <c r="N800" s="24">
        <v>491</v>
      </c>
      <c r="O800" t="s">
        <v>3264</v>
      </c>
    </row>
    <row r="801" spans="1:15" ht="15" thickBot="1">
      <c r="A801" s="6">
        <v>800</v>
      </c>
      <c r="B801" s="1" t="s">
        <v>977</v>
      </c>
      <c r="C801" s="1" t="s">
        <v>2645</v>
      </c>
      <c r="D801" s="2">
        <v>61120291</v>
      </c>
      <c r="E801" s="1" t="s">
        <v>45</v>
      </c>
      <c r="F801" s="25">
        <v>104125.28</v>
      </c>
      <c r="G801" s="4">
        <v>44423</v>
      </c>
      <c r="H801" s="4">
        <v>42757</v>
      </c>
      <c r="I801" s="1" t="s">
        <v>1252</v>
      </c>
      <c r="J801" s="7" t="s">
        <v>2646</v>
      </c>
      <c r="K801" s="17">
        <v>1414</v>
      </c>
      <c r="L801" t="str">
        <f ca="1">+IF(TODAY()-ICETEX[[#This Row],[fecha_ultimo_movimiento]]&gt;360,"Inactivo","Activo")</f>
        <v>Inactivo</v>
      </c>
      <c r="M801" s="24">
        <f>+VLOOKUP(ICETEX[[#This Row],[fecha_ultimo_movimiento]],UVR!A:B,2,0)</f>
        <v>284.5634</v>
      </c>
      <c r="N801" s="24">
        <v>366</v>
      </c>
      <c r="O801" t="s">
        <v>3264</v>
      </c>
    </row>
    <row r="802" spans="1:15" ht="15" thickBot="1">
      <c r="A802" s="6">
        <v>801</v>
      </c>
      <c r="B802" s="1" t="s">
        <v>2647</v>
      </c>
      <c r="C802" s="1" t="s">
        <v>2648</v>
      </c>
      <c r="D802" s="2">
        <v>61192753</v>
      </c>
      <c r="E802" s="1" t="s">
        <v>45</v>
      </c>
      <c r="F802" s="25">
        <v>83046.92</v>
      </c>
      <c r="G802" s="4">
        <v>44657</v>
      </c>
      <c r="H802" s="4">
        <v>42932</v>
      </c>
      <c r="I802" s="1" t="s">
        <v>1760</v>
      </c>
      <c r="J802" s="7" t="s">
        <v>2649</v>
      </c>
      <c r="K802" s="17">
        <v>1180</v>
      </c>
      <c r="L802" t="str">
        <f ca="1">+IF(TODAY()-ICETEX[[#This Row],[fecha_ultimo_movimiento]]&gt;360,"Inactivo","Activo")</f>
        <v>Inactivo</v>
      </c>
      <c r="M802" s="24">
        <f>+VLOOKUP(ICETEX[[#This Row],[fecha_ultimo_movimiento]],UVR!A:B,2,0)</f>
        <v>299.71480000000003</v>
      </c>
      <c r="N802" s="24">
        <v>277</v>
      </c>
      <c r="O802" t="s">
        <v>3265</v>
      </c>
    </row>
    <row r="803" spans="1:15" ht="15" thickBot="1">
      <c r="A803" s="6">
        <v>802</v>
      </c>
      <c r="B803" s="1" t="s">
        <v>2650</v>
      </c>
      <c r="C803" s="1" t="s">
        <v>2651</v>
      </c>
      <c r="D803" s="2">
        <v>51904524</v>
      </c>
      <c r="E803" s="1" t="s">
        <v>12</v>
      </c>
      <c r="F803" s="25">
        <v>133475.49</v>
      </c>
      <c r="G803" s="4">
        <v>43900</v>
      </c>
      <c r="H803" s="4">
        <v>43242</v>
      </c>
      <c r="I803" s="1" t="s">
        <v>1940</v>
      </c>
      <c r="J803" s="7" t="s">
        <v>2652</v>
      </c>
      <c r="K803" s="17">
        <v>1937</v>
      </c>
      <c r="L803" t="str">
        <f ca="1">+IF(TODAY()-ICETEX[[#This Row],[fecha_ultimo_movimiento]]&gt;360,"Inactivo","Activo")</f>
        <v>Inactivo</v>
      </c>
      <c r="M803" s="24">
        <f>+VLOOKUP(ICETEX[[#This Row],[fecha_ultimo_movimiento]],UVR!A:B,2,0)</f>
        <v>272.49189999999999</v>
      </c>
      <c r="N803" s="24">
        <v>490</v>
      </c>
      <c r="O803" t="s">
        <v>3264</v>
      </c>
    </row>
    <row r="804" spans="1:15" ht="15" thickBot="1">
      <c r="A804" s="6">
        <v>803</v>
      </c>
      <c r="B804" s="1" t="s">
        <v>2653</v>
      </c>
      <c r="C804" s="1" t="s">
        <v>2654</v>
      </c>
      <c r="D804" s="2">
        <v>53208176</v>
      </c>
      <c r="E804" s="1" t="s">
        <v>45</v>
      </c>
      <c r="F804" s="25">
        <v>81336.33</v>
      </c>
      <c r="G804" s="4">
        <v>44263</v>
      </c>
      <c r="H804" s="4">
        <v>42634</v>
      </c>
      <c r="I804" s="1" t="s">
        <v>159</v>
      </c>
      <c r="J804" s="7" t="s">
        <v>2655</v>
      </c>
      <c r="K804" s="17">
        <v>1574</v>
      </c>
      <c r="L804" t="str">
        <f ca="1">+IF(TODAY()-ICETEX[[#This Row],[fecha_ultimo_movimiento]]&gt;360,"Inactivo","Activo")</f>
        <v>Inactivo</v>
      </c>
      <c r="M804" s="24">
        <f>+VLOOKUP(ICETEX[[#This Row],[fecha_ultimo_movimiento]],UVR!A:B,2,0)</f>
        <v>276.75540000000001</v>
      </c>
      <c r="N804" s="24">
        <v>294</v>
      </c>
      <c r="O804" t="s">
        <v>3265</v>
      </c>
    </row>
    <row r="805" spans="1:15" ht="15" thickBot="1">
      <c r="A805" s="6">
        <v>804</v>
      </c>
      <c r="B805" s="1" t="s">
        <v>2656</v>
      </c>
      <c r="C805" s="1" t="s">
        <v>2657</v>
      </c>
      <c r="D805" s="2">
        <v>51404260</v>
      </c>
      <c r="E805" s="1" t="s">
        <v>45</v>
      </c>
      <c r="F805" s="25">
        <v>29497.91</v>
      </c>
      <c r="G805" s="4">
        <v>45761</v>
      </c>
      <c r="H805" s="4">
        <v>43165</v>
      </c>
      <c r="I805" s="1" t="s">
        <v>213</v>
      </c>
      <c r="J805" s="7" t="s">
        <v>2658</v>
      </c>
      <c r="K805" s="17">
        <v>76</v>
      </c>
      <c r="L805" t="str">
        <f ca="1">+IF(TODAY()-ICETEX[[#This Row],[fecha_ultimo_movimiento]]&gt;360,"Inactivo","Activo")</f>
        <v>Activo</v>
      </c>
      <c r="M805" s="24">
        <f>+VLOOKUP(ICETEX[[#This Row],[fecha_ultimo_movimiento]],UVR!A:B,2,0)</f>
        <v>386.786</v>
      </c>
      <c r="N805" s="24">
        <v>76</v>
      </c>
      <c r="O805" t="s">
        <v>3264</v>
      </c>
    </row>
    <row r="806" spans="1:15" ht="15" thickBot="1">
      <c r="A806" s="6">
        <v>805</v>
      </c>
      <c r="B806" s="1" t="s">
        <v>2659</v>
      </c>
      <c r="C806" s="1" t="s">
        <v>2660</v>
      </c>
      <c r="D806" s="2">
        <v>61204612</v>
      </c>
      <c r="E806" s="1" t="s">
        <v>12</v>
      </c>
      <c r="F806" s="25">
        <v>98396.08</v>
      </c>
      <c r="G806" s="4">
        <v>44209</v>
      </c>
      <c r="H806" s="4">
        <v>42496</v>
      </c>
      <c r="I806" s="1" t="s">
        <v>401</v>
      </c>
      <c r="J806" s="7" t="s">
        <v>2661</v>
      </c>
      <c r="K806" s="17">
        <v>1628</v>
      </c>
      <c r="L806" t="str">
        <f ca="1">+IF(TODAY()-ICETEX[[#This Row],[fecha_ultimo_movimiento]]&gt;360,"Inactivo","Activo")</f>
        <v>Inactivo</v>
      </c>
      <c r="M806" s="24">
        <f>+VLOOKUP(ICETEX[[#This Row],[fecha_ultimo_movimiento]],UVR!A:B,2,0)</f>
        <v>274.8895</v>
      </c>
      <c r="N806" s="24">
        <v>358</v>
      </c>
      <c r="O806" t="s">
        <v>3264</v>
      </c>
    </row>
    <row r="807" spans="1:15" ht="15" thickBot="1">
      <c r="A807" s="6">
        <v>806</v>
      </c>
      <c r="B807" s="1" t="s">
        <v>2662</v>
      </c>
      <c r="C807" s="1" t="s">
        <v>2663</v>
      </c>
      <c r="D807" s="2">
        <v>63114690</v>
      </c>
      <c r="E807" s="1" t="s">
        <v>12</v>
      </c>
      <c r="F807" s="25">
        <v>37237.46</v>
      </c>
      <c r="G807" s="4">
        <v>44680</v>
      </c>
      <c r="H807" s="4">
        <v>43034</v>
      </c>
      <c r="I807" s="1" t="s">
        <v>1395</v>
      </c>
      <c r="J807" s="7" t="s">
        <v>2664</v>
      </c>
      <c r="K807" s="17">
        <v>1157</v>
      </c>
      <c r="L807" t="str">
        <f ca="1">+IF(TODAY()-ICETEX[[#This Row],[fecha_ultimo_movimiento]]&gt;360,"Inactivo","Activo")</f>
        <v>Inactivo</v>
      </c>
      <c r="M807" s="24">
        <f>+VLOOKUP(ICETEX[[#This Row],[fecha_ultimo_movimiento]],UVR!A:B,2,0)</f>
        <v>302.5265</v>
      </c>
      <c r="N807" s="24">
        <v>123</v>
      </c>
      <c r="O807" t="s">
        <v>3265</v>
      </c>
    </row>
    <row r="808" spans="1:15" ht="15" thickBot="1">
      <c r="A808" s="6">
        <v>807</v>
      </c>
      <c r="B808" s="1" t="s">
        <v>2665</v>
      </c>
      <c r="C808" s="1" t="s">
        <v>2666</v>
      </c>
      <c r="D808" s="2">
        <v>111908004</v>
      </c>
      <c r="E808" s="1" t="s">
        <v>45</v>
      </c>
      <c r="F808" s="25">
        <v>66230.080000000002</v>
      </c>
      <c r="G808" s="4">
        <v>44241</v>
      </c>
      <c r="H808" s="4">
        <v>42939</v>
      </c>
      <c r="I808" s="1" t="s">
        <v>1646</v>
      </c>
      <c r="J808" s="7" t="s">
        <v>2667</v>
      </c>
      <c r="K808" s="17">
        <v>1596</v>
      </c>
      <c r="L808" t="str">
        <f ca="1">+IF(TODAY()-ICETEX[[#This Row],[fecha_ultimo_movimiento]]&gt;360,"Inactivo","Activo")</f>
        <v>Inactivo</v>
      </c>
      <c r="M808" s="24">
        <f>+VLOOKUP(ICETEX[[#This Row],[fecha_ultimo_movimiento]],UVR!A:B,2,0)</f>
        <v>275.87360000000001</v>
      </c>
      <c r="N808" s="24">
        <v>240</v>
      </c>
      <c r="O808" t="s">
        <v>3265</v>
      </c>
    </row>
    <row r="809" spans="1:15" ht="15" thickBot="1">
      <c r="A809" s="6">
        <v>808</v>
      </c>
      <c r="B809" s="1" t="s">
        <v>2668</v>
      </c>
      <c r="C809" s="1" t="s">
        <v>2669</v>
      </c>
      <c r="D809" s="2">
        <v>103101822</v>
      </c>
      <c r="E809" s="1" t="s">
        <v>45</v>
      </c>
      <c r="F809" s="25">
        <v>187611.66</v>
      </c>
      <c r="G809" s="4">
        <v>44228</v>
      </c>
      <c r="H809" s="4">
        <v>42391</v>
      </c>
      <c r="I809" s="1" t="s">
        <v>2670</v>
      </c>
      <c r="J809" s="7" t="s">
        <v>2671</v>
      </c>
      <c r="K809" s="17">
        <v>1609</v>
      </c>
      <c r="L809" t="str">
        <f ca="1">+IF(TODAY()-ICETEX[[#This Row],[fecha_ultimo_movimiento]]&gt;360,"Inactivo","Activo")</f>
        <v>Inactivo</v>
      </c>
      <c r="M809" s="24">
        <f>+VLOOKUP(ICETEX[[#This Row],[fecha_ultimo_movimiento]],UVR!A:B,2,0)</f>
        <v>275.43520000000001</v>
      </c>
      <c r="N809" s="24">
        <v>681</v>
      </c>
      <c r="O809" t="s">
        <v>3264</v>
      </c>
    </row>
    <row r="810" spans="1:15" ht="15" thickBot="1">
      <c r="A810" s="6">
        <v>809</v>
      </c>
      <c r="B810" s="1" t="s">
        <v>2672</v>
      </c>
      <c r="C810" s="1" t="s">
        <v>2673</v>
      </c>
      <c r="D810" s="2">
        <v>53112686</v>
      </c>
      <c r="E810" s="1" t="s">
        <v>45</v>
      </c>
      <c r="F810" s="25">
        <v>13995.99</v>
      </c>
      <c r="G810" s="4">
        <v>45231</v>
      </c>
      <c r="H810" s="4">
        <v>42556</v>
      </c>
      <c r="I810" s="1" t="s">
        <v>88</v>
      </c>
      <c r="J810" s="7" t="s">
        <v>2674</v>
      </c>
      <c r="K810" s="17">
        <v>606</v>
      </c>
      <c r="L810" t="str">
        <f ca="1">+IF(TODAY()-ICETEX[[#This Row],[fecha_ultimo_movimiento]]&gt;360,"Inactivo","Activo")</f>
        <v>Inactivo</v>
      </c>
      <c r="M810" s="24">
        <f>+VLOOKUP(ICETEX[[#This Row],[fecha_ultimo_movimiento]],UVR!A:B,2,0)</f>
        <v>355.21199999999999</v>
      </c>
      <c r="N810" s="24">
        <v>39</v>
      </c>
      <c r="O810" t="s">
        <v>3265</v>
      </c>
    </row>
    <row r="811" spans="1:15" ht="15" thickBot="1">
      <c r="A811" s="6">
        <v>810</v>
      </c>
      <c r="B811" s="1" t="s">
        <v>2675</v>
      </c>
      <c r="C811" s="1" t="s">
        <v>2676</v>
      </c>
      <c r="D811" s="2">
        <v>122287183</v>
      </c>
      <c r="E811" s="1" t="s">
        <v>12</v>
      </c>
      <c r="F811" s="25">
        <v>13237.13</v>
      </c>
      <c r="G811" s="4">
        <v>44483</v>
      </c>
      <c r="H811" s="4">
        <v>43197</v>
      </c>
      <c r="I811" s="1" t="s">
        <v>58</v>
      </c>
      <c r="J811" s="7" t="s">
        <v>2677</v>
      </c>
      <c r="K811" s="17">
        <v>1354</v>
      </c>
      <c r="L811" t="str">
        <f ca="1">+IF(TODAY()-ICETEX[[#This Row],[fecha_ultimo_movimiento]]&gt;360,"Inactivo","Activo")</f>
        <v>Inactivo</v>
      </c>
      <c r="M811" s="24">
        <f>+VLOOKUP(ICETEX[[#This Row],[fecha_ultimo_movimiento]],UVR!A:B,2,0)</f>
        <v>286.71570000000003</v>
      </c>
      <c r="N811" s="24">
        <v>46</v>
      </c>
      <c r="O811" t="s">
        <v>3265</v>
      </c>
    </row>
    <row r="812" spans="1:15" ht="15" thickBot="1">
      <c r="A812" s="6">
        <v>811</v>
      </c>
      <c r="B812" s="1" t="s">
        <v>2678</v>
      </c>
      <c r="C812" s="1" t="s">
        <v>2679</v>
      </c>
      <c r="D812" s="2">
        <v>111906271</v>
      </c>
      <c r="E812" s="1" t="s">
        <v>12</v>
      </c>
      <c r="F812" s="25">
        <v>66639.41</v>
      </c>
      <c r="G812" s="4">
        <v>45327</v>
      </c>
      <c r="H812" s="4">
        <v>42859</v>
      </c>
      <c r="I812" s="1" t="s">
        <v>1202</v>
      </c>
      <c r="J812" s="7" t="s">
        <v>2680</v>
      </c>
      <c r="K812" s="17">
        <v>510</v>
      </c>
      <c r="L812" t="str">
        <f ca="1">+IF(TODAY()-ICETEX[[#This Row],[fecha_ultimo_movimiento]]&gt;360,"Inactivo","Activo")</f>
        <v>Inactivo</v>
      </c>
      <c r="M812" s="24">
        <f>+VLOOKUP(ICETEX[[#This Row],[fecha_ultimo_movimiento]],UVR!A:B,2,0)</f>
        <v>359.73739999999998</v>
      </c>
      <c r="N812" s="24">
        <v>185</v>
      </c>
      <c r="O812" t="s">
        <v>3265</v>
      </c>
    </row>
    <row r="813" spans="1:15" ht="15" thickBot="1">
      <c r="A813" s="6">
        <v>812</v>
      </c>
      <c r="B813" s="1" t="s">
        <v>2681</v>
      </c>
      <c r="C813" s="1" t="s">
        <v>377</v>
      </c>
      <c r="D813" s="2">
        <v>111313631</v>
      </c>
      <c r="E813" s="1" t="s">
        <v>45</v>
      </c>
      <c r="F813" s="25">
        <v>110921.78</v>
      </c>
      <c r="G813" s="4">
        <v>45505</v>
      </c>
      <c r="H813" s="4">
        <v>42848</v>
      </c>
      <c r="I813" s="1" t="s">
        <v>2682</v>
      </c>
      <c r="J813" s="7" t="s">
        <v>2683</v>
      </c>
      <c r="K813" s="17">
        <v>332</v>
      </c>
      <c r="L813" t="str">
        <f ca="1">+IF(TODAY()-ICETEX[[#This Row],[fecha_ultimo_movimiento]]&gt;360,"Inactivo","Activo")</f>
        <v>Activo</v>
      </c>
      <c r="M813" s="24">
        <f>+VLOOKUP(ICETEX[[#This Row],[fecha_ultimo_movimiento]],UVR!A:B,2,0)</f>
        <v>374.54899999999998</v>
      </c>
      <c r="N813" s="24">
        <v>296</v>
      </c>
      <c r="O813" t="s">
        <v>3264</v>
      </c>
    </row>
    <row r="814" spans="1:15" ht="15" thickBot="1">
      <c r="A814" s="6">
        <v>813</v>
      </c>
      <c r="B814" s="1" t="s">
        <v>2684</v>
      </c>
      <c r="C814" s="1" t="s">
        <v>2685</v>
      </c>
      <c r="D814" s="2">
        <v>63100277</v>
      </c>
      <c r="E814" s="1" t="s">
        <v>12</v>
      </c>
      <c r="F814" s="25">
        <v>108467.3</v>
      </c>
      <c r="G814" s="4">
        <v>44868</v>
      </c>
      <c r="H814" s="4">
        <v>43304</v>
      </c>
      <c r="I814" s="1" t="s">
        <v>762</v>
      </c>
      <c r="J814" s="7" t="s">
        <v>420</v>
      </c>
      <c r="K814" s="17">
        <v>969</v>
      </c>
      <c r="L814" t="str">
        <f ca="1">+IF(TODAY()-ICETEX[[#This Row],[fecha_ultimo_movimiento]]&gt;360,"Inactivo","Activo")</f>
        <v>Inactivo</v>
      </c>
      <c r="M814" s="24">
        <f>+VLOOKUP(ICETEX[[#This Row],[fecha_ultimo_movimiento]],UVR!A:B,2,0)</f>
        <v>319.65429999999998</v>
      </c>
      <c r="N814" s="24">
        <v>339</v>
      </c>
      <c r="O814" t="s">
        <v>3264</v>
      </c>
    </row>
    <row r="815" spans="1:15" ht="15" thickBot="1">
      <c r="A815" s="6">
        <v>814</v>
      </c>
      <c r="B815" s="1" t="s">
        <v>2686</v>
      </c>
      <c r="C815" s="1" t="s">
        <v>2687</v>
      </c>
      <c r="D815" s="2">
        <v>221370878</v>
      </c>
      <c r="E815" s="1" t="s">
        <v>45</v>
      </c>
      <c r="F815" s="25">
        <v>20359.400000000001</v>
      </c>
      <c r="G815" s="4">
        <v>44334</v>
      </c>
      <c r="H815" s="4">
        <v>42391</v>
      </c>
      <c r="I815" s="1" t="s">
        <v>1182</v>
      </c>
      <c r="J815" s="7" t="s">
        <v>2688</v>
      </c>
      <c r="K815" s="17">
        <v>1503</v>
      </c>
      <c r="L815" t="str">
        <f ca="1">+IF(TODAY()-ICETEX[[#This Row],[fecha_ultimo_movimiento]]&gt;360,"Inactivo","Activo")</f>
        <v>Inactivo</v>
      </c>
      <c r="M815" s="24">
        <f>+VLOOKUP(ICETEX[[#This Row],[fecha_ultimo_movimiento]],UVR!A:B,2,0)</f>
        <v>280.3931</v>
      </c>
      <c r="N815" s="24">
        <v>73</v>
      </c>
      <c r="O815" t="s">
        <v>3265</v>
      </c>
    </row>
    <row r="816" spans="1:15" ht="15" thickBot="1">
      <c r="A816" s="6">
        <v>815</v>
      </c>
      <c r="B816" s="1" t="s">
        <v>2689</v>
      </c>
      <c r="C816" s="1" t="s">
        <v>1309</v>
      </c>
      <c r="D816" s="2">
        <v>53112275</v>
      </c>
      <c r="E816" s="1" t="s">
        <v>45</v>
      </c>
      <c r="F816" s="25">
        <v>53503.02</v>
      </c>
      <c r="G816" s="4">
        <v>45293</v>
      </c>
      <c r="H816" s="4">
        <v>42902</v>
      </c>
      <c r="I816" s="1" t="s">
        <v>88</v>
      </c>
      <c r="J816" s="7" t="s">
        <v>2690</v>
      </c>
      <c r="K816" s="17">
        <v>544</v>
      </c>
      <c r="L816" t="str">
        <f ca="1">+IF(TODAY()-ICETEX[[#This Row],[fecha_ultimo_movimiento]]&gt;360,"Inactivo","Activo")</f>
        <v>Inactivo</v>
      </c>
      <c r="M816" s="24">
        <f>+VLOOKUP(ICETEX[[#This Row],[fecha_ultimo_movimiento]],UVR!A:B,2,0)</f>
        <v>357.94040000000001</v>
      </c>
      <c r="N816" s="24">
        <v>149</v>
      </c>
      <c r="O816" t="s">
        <v>3265</v>
      </c>
    </row>
    <row r="817" spans="1:15" ht="15" thickBot="1">
      <c r="A817" s="6">
        <v>816</v>
      </c>
      <c r="B817" s="1" t="s">
        <v>2691</v>
      </c>
      <c r="C817" s="1" t="s">
        <v>2692</v>
      </c>
      <c r="D817" s="2">
        <v>82901596</v>
      </c>
      <c r="E817" s="1" t="s">
        <v>12</v>
      </c>
      <c r="F817" s="25">
        <v>88156.83</v>
      </c>
      <c r="G817" s="4">
        <v>44629</v>
      </c>
      <c r="H817" s="4">
        <v>42633</v>
      </c>
      <c r="I817" s="1" t="s">
        <v>2693</v>
      </c>
      <c r="J817" s="7" t="s">
        <v>2694</v>
      </c>
      <c r="K817" s="17">
        <v>1208</v>
      </c>
      <c r="L817" t="str">
        <f ca="1">+IF(TODAY()-ICETEX[[#This Row],[fecha_ultimo_movimiento]]&gt;360,"Inactivo","Activo")</f>
        <v>Inactivo</v>
      </c>
      <c r="M817" s="24">
        <f>+VLOOKUP(ICETEX[[#This Row],[fecha_ultimo_movimiento]],UVR!A:B,2,0)</f>
        <v>295.2457</v>
      </c>
      <c r="N817" s="24">
        <v>299</v>
      </c>
      <c r="O817" t="s">
        <v>3265</v>
      </c>
    </row>
    <row r="818" spans="1:15" ht="15" thickBot="1">
      <c r="A818" s="6">
        <v>817</v>
      </c>
      <c r="B818" s="1" t="s">
        <v>2695</v>
      </c>
      <c r="C818" s="1" t="s">
        <v>2696</v>
      </c>
      <c r="D818" s="2">
        <v>111025013</v>
      </c>
      <c r="E818" s="1" t="s">
        <v>45</v>
      </c>
      <c r="F818" s="25">
        <v>78195.66</v>
      </c>
      <c r="G818" s="4">
        <v>44953</v>
      </c>
      <c r="H818" s="4">
        <v>42415</v>
      </c>
      <c r="I818" s="1" t="s">
        <v>217</v>
      </c>
      <c r="J818" s="7" t="s">
        <v>2697</v>
      </c>
      <c r="K818" s="17">
        <v>884</v>
      </c>
      <c r="L818" t="str">
        <f ca="1">+IF(TODAY()-ICETEX[[#This Row],[fecha_ultimo_movimiento]]&gt;360,"Inactivo","Activo")</f>
        <v>Inactivo</v>
      </c>
      <c r="M818" s="24">
        <f>+VLOOKUP(ICETEX[[#This Row],[fecha_ultimo_movimiento]],UVR!A:B,2,0)</f>
        <v>327.1816</v>
      </c>
      <c r="N818" s="24">
        <v>239</v>
      </c>
      <c r="O818" t="s">
        <v>3265</v>
      </c>
    </row>
    <row r="819" spans="1:15" ht="15" thickBot="1">
      <c r="A819" s="6">
        <v>818</v>
      </c>
      <c r="B819" s="1" t="s">
        <v>2698</v>
      </c>
      <c r="C819" s="1" t="s">
        <v>2699</v>
      </c>
      <c r="D819" s="2">
        <v>75900465</v>
      </c>
      <c r="E819" s="1" t="s">
        <v>45</v>
      </c>
      <c r="F819" s="25">
        <v>77485.86</v>
      </c>
      <c r="G819" s="4">
        <v>45472</v>
      </c>
      <c r="H819" s="4">
        <v>43255</v>
      </c>
      <c r="I819" s="1" t="s">
        <v>330</v>
      </c>
      <c r="J819" s="7" t="s">
        <v>2700</v>
      </c>
      <c r="K819" s="17">
        <v>365</v>
      </c>
      <c r="L819" t="str">
        <f ca="1">+IF(TODAY()-ICETEX[[#This Row],[fecha_ultimo_movimiento]]&gt;360,"Inactivo","Activo")</f>
        <v>Inactivo</v>
      </c>
      <c r="M819" s="24">
        <f>+VLOOKUP(ICETEX[[#This Row],[fecha_ultimo_movimiento]],UVR!A:B,2,0)</f>
        <v>373.03870000000001</v>
      </c>
      <c r="N819" s="24">
        <v>208</v>
      </c>
      <c r="O819" t="s">
        <v>3264</v>
      </c>
    </row>
    <row r="820" spans="1:15" ht="15" thickBot="1">
      <c r="A820" s="6">
        <v>819</v>
      </c>
      <c r="B820" s="1" t="s">
        <v>2701</v>
      </c>
      <c r="C820" s="1" t="s">
        <v>2702</v>
      </c>
      <c r="D820" s="2">
        <v>231271404</v>
      </c>
      <c r="E820" s="1" t="s">
        <v>12</v>
      </c>
      <c r="F820" s="25">
        <v>49407.19</v>
      </c>
      <c r="G820" s="4">
        <v>45112</v>
      </c>
      <c r="H820" s="4">
        <v>42474</v>
      </c>
      <c r="I820" s="1" t="s">
        <v>1478</v>
      </c>
      <c r="J820" s="7" t="s">
        <v>2703</v>
      </c>
      <c r="K820" s="17">
        <v>725</v>
      </c>
      <c r="L820" t="str">
        <f ca="1">+IF(TODAY()-ICETEX[[#This Row],[fecha_ultimo_movimiento]]&gt;360,"Inactivo","Activo")</f>
        <v>Inactivo</v>
      </c>
      <c r="M820" s="24">
        <f>+VLOOKUP(ICETEX[[#This Row],[fecha_ultimo_movimiento]],UVR!A:B,2,0)</f>
        <v>348.4074</v>
      </c>
      <c r="N820" s="24">
        <v>142</v>
      </c>
      <c r="O820" t="s">
        <v>3265</v>
      </c>
    </row>
    <row r="821" spans="1:15" ht="15" thickBot="1">
      <c r="A821" s="6">
        <v>820</v>
      </c>
      <c r="B821" s="1" t="s">
        <v>2704</v>
      </c>
      <c r="C821" s="1" t="s">
        <v>2705</v>
      </c>
      <c r="D821" s="2">
        <v>102103562</v>
      </c>
      <c r="E821" s="1" t="s">
        <v>45</v>
      </c>
      <c r="F821" s="25">
        <v>87112.48</v>
      </c>
      <c r="G821" s="4">
        <v>45519</v>
      </c>
      <c r="H821" s="4">
        <v>43016</v>
      </c>
      <c r="I821" s="1" t="s">
        <v>2706</v>
      </c>
      <c r="J821" s="7" t="s">
        <v>2707</v>
      </c>
      <c r="K821" s="17">
        <v>318</v>
      </c>
      <c r="L821" t="str">
        <f ca="1">+IF(TODAY()-ICETEX[[#This Row],[fecha_ultimo_movimiento]]&gt;360,"Inactivo","Activo")</f>
        <v>Activo</v>
      </c>
      <c r="M821" s="24">
        <f>+VLOOKUP(ICETEX[[#This Row],[fecha_ultimo_movimiento]],UVR!A:B,2,0)</f>
        <v>375.0899</v>
      </c>
      <c r="N821" s="24">
        <v>232</v>
      </c>
      <c r="O821" t="s">
        <v>3264</v>
      </c>
    </row>
    <row r="822" spans="1:15" ht="15" thickBot="1">
      <c r="A822" s="6">
        <v>821</v>
      </c>
      <c r="B822" s="1" t="s">
        <v>2708</v>
      </c>
      <c r="C822" s="1" t="s">
        <v>2709</v>
      </c>
      <c r="D822" s="2">
        <v>111319538</v>
      </c>
      <c r="E822" s="1" t="s">
        <v>45</v>
      </c>
      <c r="F822" s="25">
        <v>95077.759999999995</v>
      </c>
      <c r="G822" s="4">
        <v>44834</v>
      </c>
      <c r="H822" s="4">
        <v>42635</v>
      </c>
      <c r="I822" s="1" t="s">
        <v>2710</v>
      </c>
      <c r="J822" s="7" t="s">
        <v>2711</v>
      </c>
      <c r="K822" s="17">
        <v>1003</v>
      </c>
      <c r="L822" t="str">
        <f ca="1">+IF(TODAY()-ICETEX[[#This Row],[fecha_ultimo_movimiento]]&gt;360,"Inactivo","Activo")</f>
        <v>Inactivo</v>
      </c>
      <c r="M822" s="24">
        <f>+VLOOKUP(ICETEX[[#This Row],[fecha_ultimo_movimiento]],UVR!A:B,2,0)</f>
        <v>316.2371</v>
      </c>
      <c r="N822" s="24">
        <v>301</v>
      </c>
      <c r="O822" t="s">
        <v>3265</v>
      </c>
    </row>
    <row r="823" spans="1:15" ht="26.5" thickBot="1">
      <c r="A823" s="6">
        <v>822</v>
      </c>
      <c r="B823" s="1" t="s">
        <v>2712</v>
      </c>
      <c r="C823" s="1" t="s">
        <v>2713</v>
      </c>
      <c r="D823" s="2">
        <v>122217056</v>
      </c>
      <c r="E823" s="1" t="s">
        <v>45</v>
      </c>
      <c r="F823" s="25">
        <v>44882.400000000001</v>
      </c>
      <c r="G823" s="4">
        <v>44534</v>
      </c>
      <c r="H823" s="4">
        <v>43320</v>
      </c>
      <c r="I823" s="1" t="s">
        <v>357</v>
      </c>
      <c r="J823" s="7" t="s">
        <v>2714</v>
      </c>
      <c r="K823" s="17">
        <v>1303</v>
      </c>
      <c r="L823" t="str">
        <f ca="1">+IF(TODAY()-ICETEX[[#This Row],[fecha_ultimo_movimiento]]&gt;360,"Inactivo","Activo")</f>
        <v>Inactivo</v>
      </c>
      <c r="M823" s="24">
        <f>+VLOOKUP(ICETEX[[#This Row],[fecha_ultimo_movimiento]],UVR!A:B,2,0)</f>
        <v>287.86649999999997</v>
      </c>
      <c r="N823" s="24">
        <v>156</v>
      </c>
      <c r="O823" t="s">
        <v>3265</v>
      </c>
    </row>
    <row r="824" spans="1:15" ht="15" thickBot="1">
      <c r="A824" s="6">
        <v>823</v>
      </c>
      <c r="B824" s="1" t="s">
        <v>2715</v>
      </c>
      <c r="C824" s="1" t="s">
        <v>2716</v>
      </c>
      <c r="D824" s="2">
        <v>43300712</v>
      </c>
      <c r="E824" s="1" t="s">
        <v>45</v>
      </c>
      <c r="F824" s="25">
        <v>142699.98000000001</v>
      </c>
      <c r="G824" s="4">
        <v>44876</v>
      </c>
      <c r="H824" s="4">
        <v>42926</v>
      </c>
      <c r="I824" s="1" t="s">
        <v>88</v>
      </c>
      <c r="J824" s="7" t="s">
        <v>2717</v>
      </c>
      <c r="K824" s="17">
        <v>961</v>
      </c>
      <c r="L824" t="str">
        <f ca="1">+IF(TODAY()-ICETEX[[#This Row],[fecha_ultimo_movimiento]]&gt;360,"Inactivo","Activo")</f>
        <v>Inactivo</v>
      </c>
      <c r="M824" s="24">
        <f>+VLOOKUP(ICETEX[[#This Row],[fecha_ultimo_movimiento]],UVR!A:B,2,0)</f>
        <v>320.41879999999998</v>
      </c>
      <c r="N824" s="24">
        <v>445</v>
      </c>
      <c r="O824" t="s">
        <v>3264</v>
      </c>
    </row>
    <row r="825" spans="1:15" ht="15" thickBot="1">
      <c r="A825" s="6">
        <v>824</v>
      </c>
      <c r="B825" s="1" t="s">
        <v>623</v>
      </c>
      <c r="C825" s="1" t="s">
        <v>2718</v>
      </c>
      <c r="D825" s="2">
        <v>84202837</v>
      </c>
      <c r="E825" s="1" t="s">
        <v>45</v>
      </c>
      <c r="F825" s="25">
        <v>178521.33</v>
      </c>
      <c r="G825" s="4">
        <v>44391</v>
      </c>
      <c r="H825" s="4">
        <v>43280</v>
      </c>
      <c r="I825" s="1" t="s">
        <v>135</v>
      </c>
      <c r="J825" s="7" t="s">
        <v>2719</v>
      </c>
      <c r="K825" s="17">
        <v>1446</v>
      </c>
      <c r="L825" t="str">
        <f ca="1">+IF(TODAY()-ICETEX[[#This Row],[fecha_ultimo_movimiento]]&gt;360,"Inactivo","Activo")</f>
        <v>Inactivo</v>
      </c>
      <c r="M825" s="24">
        <f>+VLOOKUP(ICETEX[[#This Row],[fecha_ultimo_movimiento]],UVR!A:B,2,0)</f>
        <v>284.6114</v>
      </c>
      <c r="N825" s="24">
        <v>627</v>
      </c>
      <c r="O825" t="s">
        <v>3264</v>
      </c>
    </row>
    <row r="826" spans="1:15" ht="15" thickBot="1">
      <c r="A826" s="6">
        <v>825</v>
      </c>
      <c r="B826" s="1" t="s">
        <v>2720</v>
      </c>
      <c r="C826" s="1" t="s">
        <v>2721</v>
      </c>
      <c r="D826" s="2">
        <v>111300945</v>
      </c>
      <c r="E826" s="1" t="s">
        <v>12</v>
      </c>
      <c r="F826" s="25">
        <v>101077.36</v>
      </c>
      <c r="G826" s="4">
        <v>44438</v>
      </c>
      <c r="H826" s="4">
        <v>43047</v>
      </c>
      <c r="I826" s="1" t="s">
        <v>762</v>
      </c>
      <c r="J826" s="7" t="s">
        <v>2722</v>
      </c>
      <c r="K826" s="17">
        <v>1399</v>
      </c>
      <c r="L826" t="str">
        <f ca="1">+IF(TODAY()-ICETEX[[#This Row],[fecha_ultimo_movimiento]]&gt;360,"Inactivo","Activo")</f>
        <v>Inactivo</v>
      </c>
      <c r="M826" s="24">
        <f>+VLOOKUP(ICETEX[[#This Row],[fecha_ultimo_movimiento]],UVR!A:B,2,0)</f>
        <v>285.00369999999998</v>
      </c>
      <c r="N826" s="24">
        <v>355</v>
      </c>
      <c r="O826" t="s">
        <v>3264</v>
      </c>
    </row>
    <row r="827" spans="1:15" ht="15" thickBot="1">
      <c r="A827" s="6">
        <v>826</v>
      </c>
      <c r="B827" s="1" t="s">
        <v>573</v>
      </c>
      <c r="C827" s="1" t="s">
        <v>2723</v>
      </c>
      <c r="D827" s="2">
        <v>271974295</v>
      </c>
      <c r="E827" s="1" t="s">
        <v>12</v>
      </c>
      <c r="F827" s="25">
        <v>160648.38</v>
      </c>
      <c r="G827" s="4">
        <v>44524</v>
      </c>
      <c r="H827" s="4">
        <v>42606</v>
      </c>
      <c r="I827" s="1" t="s">
        <v>127</v>
      </c>
      <c r="J827" s="7" t="s">
        <v>2724</v>
      </c>
      <c r="K827" s="17">
        <v>1313</v>
      </c>
      <c r="L827" t="str">
        <f ca="1">+IF(TODAY()-ICETEX[[#This Row],[fecha_ultimo_movimiento]]&gt;360,"Inactivo","Activo")</f>
        <v>Inactivo</v>
      </c>
      <c r="M827" s="24">
        <f>+VLOOKUP(ICETEX[[#This Row],[fecha_ultimo_movimiento]],UVR!A:B,2,0)</f>
        <v>287.8569</v>
      </c>
      <c r="N827" s="24">
        <v>558</v>
      </c>
      <c r="O827" t="s">
        <v>3264</v>
      </c>
    </row>
    <row r="828" spans="1:15" ht="15" thickBot="1">
      <c r="A828" s="6">
        <v>827</v>
      </c>
      <c r="B828" s="1" t="s">
        <v>2725</v>
      </c>
      <c r="C828" s="1" t="s">
        <v>2726</v>
      </c>
      <c r="D828" s="2">
        <v>43403282</v>
      </c>
      <c r="E828" s="1" t="s">
        <v>12</v>
      </c>
      <c r="F828" s="25">
        <v>172907.63</v>
      </c>
      <c r="G828" s="4">
        <v>44615</v>
      </c>
      <c r="H828" s="4">
        <v>42854</v>
      </c>
      <c r="I828" s="1" t="s">
        <v>434</v>
      </c>
      <c r="J828" s="8" t="s">
        <v>2727</v>
      </c>
      <c r="K828" s="17">
        <v>1222</v>
      </c>
      <c r="L828" t="str">
        <f ca="1">+IF(TODAY()-ICETEX[[#This Row],[fecha_ultimo_movimiento]]&gt;360,"Inactivo","Activo")</f>
        <v>Inactivo</v>
      </c>
      <c r="M828" s="24">
        <f>+VLOOKUP(ICETEX[[#This Row],[fecha_ultimo_movimiento]],UVR!A:B,2,0)</f>
        <v>292.81079999999997</v>
      </c>
      <c r="N828" s="24">
        <v>591</v>
      </c>
      <c r="O828" t="s">
        <v>3264</v>
      </c>
    </row>
    <row r="829" spans="1:15" ht="15" thickBot="1">
      <c r="A829" s="6">
        <v>828</v>
      </c>
      <c r="B829" s="1" t="s">
        <v>2728</v>
      </c>
      <c r="C829" s="1" t="s">
        <v>2729</v>
      </c>
      <c r="D829" s="2">
        <v>75902463</v>
      </c>
      <c r="E829" s="1" t="s">
        <v>45</v>
      </c>
      <c r="F829" s="25">
        <v>94628.38</v>
      </c>
      <c r="G829" s="4">
        <v>44132</v>
      </c>
      <c r="H829" s="4">
        <v>42568</v>
      </c>
      <c r="I829" s="1" t="s">
        <v>2730</v>
      </c>
      <c r="J829" s="7" t="s">
        <v>2731</v>
      </c>
      <c r="K829" s="17">
        <v>1705</v>
      </c>
      <c r="L829" t="str">
        <f ca="1">+IF(TODAY()-ICETEX[[#This Row],[fecha_ultimo_movimiento]]&gt;360,"Inactivo","Activo")</f>
        <v>Inactivo</v>
      </c>
      <c r="M829" s="24">
        <f>+VLOOKUP(ICETEX[[#This Row],[fecha_ultimo_movimiento]],UVR!A:B,2,0)</f>
        <v>274.93060000000003</v>
      </c>
      <c r="N829" s="24">
        <v>344</v>
      </c>
      <c r="O829" t="s">
        <v>3264</v>
      </c>
    </row>
    <row r="830" spans="1:15" ht="15" thickBot="1">
      <c r="A830" s="6">
        <v>829</v>
      </c>
      <c r="B830" s="1" t="s">
        <v>2732</v>
      </c>
      <c r="C830" s="1" t="s">
        <v>2733</v>
      </c>
      <c r="D830" s="2">
        <v>101213204</v>
      </c>
      <c r="E830" s="1" t="s">
        <v>45</v>
      </c>
      <c r="F830" s="25">
        <v>61169.41</v>
      </c>
      <c r="G830" s="4">
        <v>44017</v>
      </c>
      <c r="H830" s="4">
        <v>42632</v>
      </c>
      <c r="I830" s="1" t="s">
        <v>2601</v>
      </c>
      <c r="J830" s="7" t="s">
        <v>2734</v>
      </c>
      <c r="K830" s="17">
        <v>1820</v>
      </c>
      <c r="L830" t="str">
        <f ca="1">+IF(TODAY()-ICETEX[[#This Row],[fecha_ultimo_movimiento]]&gt;360,"Inactivo","Activo")</f>
        <v>Inactivo</v>
      </c>
      <c r="M830" s="24">
        <f>+VLOOKUP(ICETEX[[#This Row],[fecha_ultimo_movimiento]],UVR!A:B,2,0)</f>
        <v>275.93209999999999</v>
      </c>
      <c r="N830" s="24">
        <v>222</v>
      </c>
      <c r="O830" t="s">
        <v>3265</v>
      </c>
    </row>
    <row r="831" spans="1:15" ht="15" thickBot="1">
      <c r="A831" s="6">
        <v>830</v>
      </c>
      <c r="B831" s="1" t="s">
        <v>2735</v>
      </c>
      <c r="C831" s="1" t="s">
        <v>2736</v>
      </c>
      <c r="D831" s="2">
        <v>74905474</v>
      </c>
      <c r="E831" s="1" t="s">
        <v>45</v>
      </c>
      <c r="F831" s="25">
        <v>204918.63</v>
      </c>
      <c r="G831" s="4">
        <v>45764</v>
      </c>
      <c r="H831" s="4">
        <v>42516</v>
      </c>
      <c r="I831" s="1" t="s">
        <v>2737</v>
      </c>
      <c r="J831" s="7" t="s">
        <v>2738</v>
      </c>
      <c r="K831" s="17">
        <v>73</v>
      </c>
      <c r="L831" t="str">
        <f ca="1">+IF(TODAY()-ICETEX[[#This Row],[fecha_ultimo_movimiento]]&gt;360,"Inactivo","Activo")</f>
        <v>Activo</v>
      </c>
      <c r="M831" s="24">
        <f>+VLOOKUP(ICETEX[[#This Row],[fecha_ultimo_movimiento]],UVR!A:B,2,0)</f>
        <v>387.06130000000002</v>
      </c>
      <c r="N831" s="24">
        <v>529</v>
      </c>
      <c r="O831" t="s">
        <v>3264</v>
      </c>
    </row>
    <row r="832" spans="1:15" ht="15" thickBot="1">
      <c r="A832" s="6">
        <v>831</v>
      </c>
      <c r="B832" s="1" t="s">
        <v>2739</v>
      </c>
      <c r="C832" s="1" t="s">
        <v>2740</v>
      </c>
      <c r="D832" s="2">
        <v>122234149</v>
      </c>
      <c r="E832" s="1" t="s">
        <v>45</v>
      </c>
      <c r="F832" s="25">
        <v>47908.71</v>
      </c>
      <c r="G832" s="4">
        <v>45542</v>
      </c>
      <c r="H832" s="4">
        <v>42397</v>
      </c>
      <c r="I832" s="1" t="s">
        <v>495</v>
      </c>
      <c r="J832" s="7" t="s">
        <v>2741</v>
      </c>
      <c r="K832" s="17">
        <v>295</v>
      </c>
      <c r="L832" t="str">
        <f ca="1">+IF(TODAY()-ICETEX[[#This Row],[fecha_ultimo_movimiento]]&gt;360,"Inactivo","Activo")</f>
        <v>Activo</v>
      </c>
      <c r="M832" s="24">
        <f>+VLOOKUP(ICETEX[[#This Row],[fecha_ultimo_movimiento]],UVR!A:B,2,0)</f>
        <v>375.6463</v>
      </c>
      <c r="N832" s="24">
        <v>128</v>
      </c>
      <c r="O832" t="s">
        <v>3264</v>
      </c>
    </row>
    <row r="833" spans="1:15" ht="15" thickBot="1">
      <c r="A833" s="6">
        <v>832</v>
      </c>
      <c r="B833" s="1" t="s">
        <v>2742</v>
      </c>
      <c r="C833" s="1" t="s">
        <v>2743</v>
      </c>
      <c r="D833" s="2">
        <v>64000020</v>
      </c>
      <c r="E833" s="1" t="s">
        <v>45</v>
      </c>
      <c r="F833" s="25">
        <v>37976.01</v>
      </c>
      <c r="G833" s="4">
        <v>43944</v>
      </c>
      <c r="H833" s="4">
        <v>43183</v>
      </c>
      <c r="I833" s="1" t="s">
        <v>762</v>
      </c>
      <c r="J833" s="7" t="s">
        <v>2744</v>
      </c>
      <c r="K833" s="17">
        <v>1893</v>
      </c>
      <c r="L833" t="str">
        <f ca="1">+IF(TODAY()-ICETEX[[#This Row],[fecha_ultimo_movimiento]]&gt;360,"Inactivo","Activo")</f>
        <v>Inactivo</v>
      </c>
      <c r="M833" s="24">
        <f>+VLOOKUP(ICETEX[[#This Row],[fecha_ultimo_movimiento]],UVR!A:B,2,0)</f>
        <v>274.9323</v>
      </c>
      <c r="N833" s="24">
        <v>138</v>
      </c>
      <c r="O833" t="s">
        <v>3265</v>
      </c>
    </row>
    <row r="834" spans="1:15" ht="15" thickBot="1">
      <c r="A834" s="6">
        <v>833</v>
      </c>
      <c r="B834" s="1" t="s">
        <v>2745</v>
      </c>
      <c r="C834" s="1" t="s">
        <v>2746</v>
      </c>
      <c r="D834" s="2">
        <v>124302257</v>
      </c>
      <c r="E834" s="1" t="s">
        <v>45</v>
      </c>
      <c r="F834" s="25">
        <v>79131.19</v>
      </c>
      <c r="G834" s="4">
        <v>45569</v>
      </c>
      <c r="H834" s="4">
        <v>43430</v>
      </c>
      <c r="I834" s="1" t="s">
        <v>263</v>
      </c>
      <c r="J834" s="7" t="s">
        <v>2747</v>
      </c>
      <c r="K834" s="17">
        <v>268</v>
      </c>
      <c r="L834" t="str">
        <f ca="1">+IF(TODAY()-ICETEX[[#This Row],[fecha_ultimo_movimiento]]&gt;360,"Inactivo","Activo")</f>
        <v>Activo</v>
      </c>
      <c r="M834" s="24">
        <f>+VLOOKUP(ICETEX[[#This Row],[fecha_ultimo_movimiento]],UVR!A:B,2,0)</f>
        <v>375.84010000000001</v>
      </c>
      <c r="N834" s="24">
        <v>211</v>
      </c>
      <c r="O834" t="s">
        <v>3264</v>
      </c>
    </row>
    <row r="835" spans="1:15" ht="15" thickBot="1">
      <c r="A835" s="6">
        <v>834</v>
      </c>
      <c r="B835" s="1" t="s">
        <v>2748</v>
      </c>
      <c r="C835" s="1" t="s">
        <v>2749</v>
      </c>
      <c r="D835" s="2">
        <v>113008083</v>
      </c>
      <c r="E835" s="1" t="s">
        <v>12</v>
      </c>
      <c r="F835" s="25">
        <v>36270.31</v>
      </c>
      <c r="G835" s="4">
        <v>44642</v>
      </c>
      <c r="H835" s="4">
        <v>42973</v>
      </c>
      <c r="I835" s="1" t="s">
        <v>534</v>
      </c>
      <c r="J835" s="7" t="s">
        <v>2750</v>
      </c>
      <c r="K835" s="17">
        <v>1195</v>
      </c>
      <c r="L835" t="str">
        <f ca="1">+IF(TODAY()-ICETEX[[#This Row],[fecha_ultimo_movimiento]]&gt;360,"Inactivo","Activo")</f>
        <v>Inactivo</v>
      </c>
      <c r="M835" s="24">
        <f>+VLOOKUP(ICETEX[[#This Row],[fecha_ultimo_movimiento]],UVR!A:B,2,0)</f>
        <v>297.37909999999999</v>
      </c>
      <c r="N835" s="24">
        <v>122</v>
      </c>
      <c r="O835" t="s">
        <v>3265</v>
      </c>
    </row>
    <row r="836" spans="1:15" ht="15" thickBot="1">
      <c r="A836" s="6">
        <v>835</v>
      </c>
      <c r="B836" s="1" t="s">
        <v>2751</v>
      </c>
      <c r="C836" s="1" t="s">
        <v>2752</v>
      </c>
      <c r="D836" s="2">
        <v>122244744</v>
      </c>
      <c r="E836" s="1" t="s">
        <v>12</v>
      </c>
      <c r="F836" s="25">
        <v>135174.79</v>
      </c>
      <c r="G836" s="4">
        <v>45012</v>
      </c>
      <c r="H836" s="4">
        <v>43099</v>
      </c>
      <c r="I836" s="1" t="s">
        <v>58</v>
      </c>
      <c r="J836" s="7" t="s">
        <v>2753</v>
      </c>
      <c r="K836" s="17">
        <v>825</v>
      </c>
      <c r="L836" t="str">
        <f ca="1">+IF(TODAY()-ICETEX[[#This Row],[fecha_ultimo_movimiento]]&gt;360,"Inactivo","Activo")</f>
        <v>Inactivo</v>
      </c>
      <c r="M836" s="24">
        <f>+VLOOKUP(ICETEX[[#This Row],[fecha_ultimo_movimiento]],UVR!A:B,2,0)</f>
        <v>337.71629999999999</v>
      </c>
      <c r="N836" s="24">
        <v>400</v>
      </c>
      <c r="O836" t="s">
        <v>3264</v>
      </c>
    </row>
    <row r="837" spans="1:15" ht="26.5" thickBot="1">
      <c r="A837" s="6">
        <v>836</v>
      </c>
      <c r="B837" s="1" t="s">
        <v>2754</v>
      </c>
      <c r="C837" s="1" t="s">
        <v>2755</v>
      </c>
      <c r="D837" s="2">
        <v>91915133</v>
      </c>
      <c r="E837" s="1" t="s">
        <v>45</v>
      </c>
      <c r="F837" s="25">
        <v>59358.75</v>
      </c>
      <c r="G837" s="4">
        <v>44205</v>
      </c>
      <c r="H837" s="4">
        <v>42895</v>
      </c>
      <c r="I837" s="1" t="s">
        <v>2756</v>
      </c>
      <c r="J837" s="7" t="s">
        <v>2655</v>
      </c>
      <c r="K837" s="17">
        <v>1632</v>
      </c>
      <c r="L837" t="str">
        <f ca="1">+IF(TODAY()-ICETEX[[#This Row],[fecha_ultimo_movimiento]]&gt;360,"Inactivo","Activo")</f>
        <v>Inactivo</v>
      </c>
      <c r="M837" s="24">
        <f>+VLOOKUP(ICETEX[[#This Row],[fecha_ultimo_movimiento]],UVR!A:B,2,0)</f>
        <v>274.94279999999998</v>
      </c>
      <c r="N837" s="24">
        <v>216</v>
      </c>
      <c r="O837" t="s">
        <v>3265</v>
      </c>
    </row>
    <row r="838" spans="1:15" ht="15" thickBot="1">
      <c r="A838" s="6">
        <v>837</v>
      </c>
      <c r="B838" s="1" t="s">
        <v>2184</v>
      </c>
      <c r="C838" s="1" t="s">
        <v>2757</v>
      </c>
      <c r="D838" s="2">
        <v>81517981</v>
      </c>
      <c r="E838" s="1" t="s">
        <v>12</v>
      </c>
      <c r="F838" s="25">
        <v>201416.29</v>
      </c>
      <c r="G838" s="4">
        <v>44543</v>
      </c>
      <c r="H838" s="4">
        <v>43155</v>
      </c>
      <c r="I838" s="1" t="s">
        <v>1925</v>
      </c>
      <c r="J838" s="7" t="s">
        <v>2758</v>
      </c>
      <c r="K838" s="17">
        <v>1294</v>
      </c>
      <c r="L838" t="str">
        <f ca="1">+IF(TODAY()-ICETEX[[#This Row],[fecha_ultimo_movimiento]]&gt;360,"Inactivo","Activo")</f>
        <v>Inactivo</v>
      </c>
      <c r="M838" s="24">
        <f>+VLOOKUP(ICETEX[[#This Row],[fecha_ultimo_movimiento]],UVR!A:B,2,0)</f>
        <v>287.87520000000001</v>
      </c>
      <c r="N838" s="24">
        <v>700</v>
      </c>
      <c r="O838" t="s">
        <v>3264</v>
      </c>
    </row>
    <row r="839" spans="1:15" ht="15" thickBot="1">
      <c r="A839" s="6">
        <v>838</v>
      </c>
      <c r="B839" s="1" t="s">
        <v>2759</v>
      </c>
      <c r="C839" s="1" t="s">
        <v>2760</v>
      </c>
      <c r="D839" s="2">
        <v>11305749</v>
      </c>
      <c r="E839" s="1" t="s">
        <v>45</v>
      </c>
      <c r="F839" s="25">
        <v>126239.92</v>
      </c>
      <c r="G839" s="4">
        <v>43861</v>
      </c>
      <c r="H839" s="4">
        <v>43411</v>
      </c>
      <c r="I839" s="1" t="s">
        <v>151</v>
      </c>
      <c r="J839" s="7" t="s">
        <v>2761</v>
      </c>
      <c r="K839" s="17">
        <v>1976</v>
      </c>
      <c r="L839" t="str">
        <f ca="1">+IF(TODAY()-ICETEX[[#This Row],[fecha_ultimo_movimiento]]&gt;360,"Inactivo","Activo")</f>
        <v>Inactivo</v>
      </c>
      <c r="M839" s="24">
        <f>+VLOOKUP(ICETEX[[#This Row],[fecha_ultimo_movimiento]],UVR!A:B,2,0)</f>
        <v>271.20740000000001</v>
      </c>
      <c r="N839" s="24">
        <v>465</v>
      </c>
      <c r="O839" t="s">
        <v>3264</v>
      </c>
    </row>
    <row r="840" spans="1:15" ht="15" thickBot="1">
      <c r="A840" s="6">
        <v>839</v>
      </c>
      <c r="B840" s="1" t="s">
        <v>2762</v>
      </c>
      <c r="C840" s="1" t="s">
        <v>2763</v>
      </c>
      <c r="D840" s="2">
        <v>63114920</v>
      </c>
      <c r="E840" s="1" t="s">
        <v>12</v>
      </c>
      <c r="F840" s="25">
        <v>67782.28</v>
      </c>
      <c r="G840" s="4">
        <v>45069</v>
      </c>
      <c r="H840" s="4">
        <v>42907</v>
      </c>
      <c r="I840" s="1" t="s">
        <v>1395</v>
      </c>
      <c r="J840" s="8" t="s">
        <v>2764</v>
      </c>
      <c r="K840" s="17">
        <v>768</v>
      </c>
      <c r="L840" t="str">
        <f ca="1">+IF(TODAY()-ICETEX[[#This Row],[fecha_ultimo_movimiento]]&gt;360,"Inactivo","Activo")</f>
        <v>Inactivo</v>
      </c>
      <c r="M840" s="24">
        <f>+VLOOKUP(ICETEX[[#This Row],[fecha_ultimo_movimiento]],UVR!A:B,2,0)</f>
        <v>345.4153</v>
      </c>
      <c r="N840" s="24">
        <v>196</v>
      </c>
      <c r="O840" t="s">
        <v>3265</v>
      </c>
    </row>
    <row r="841" spans="1:15" ht="15" thickBot="1">
      <c r="A841" s="6">
        <v>840</v>
      </c>
      <c r="B841" s="1" t="s">
        <v>2765</v>
      </c>
      <c r="C841" s="1" t="s">
        <v>2766</v>
      </c>
      <c r="D841" s="2">
        <v>81000058</v>
      </c>
      <c r="E841" s="1" t="s">
        <v>12</v>
      </c>
      <c r="F841" s="25">
        <v>174369.48</v>
      </c>
      <c r="G841" s="4">
        <v>44563</v>
      </c>
      <c r="H841" s="4">
        <v>42884</v>
      </c>
      <c r="I841" s="1" t="s">
        <v>13</v>
      </c>
      <c r="J841" s="7" t="s">
        <v>2767</v>
      </c>
      <c r="K841" s="17">
        <v>1274</v>
      </c>
      <c r="L841" t="str">
        <f ca="1">+IF(TODAY()-ICETEX[[#This Row],[fecha_ultimo_movimiento]]&gt;360,"Inactivo","Activo")</f>
        <v>Inactivo</v>
      </c>
      <c r="M841" s="24">
        <f>+VLOOKUP(ICETEX[[#This Row],[fecha_ultimo_movimiento]],UVR!A:B,2,0)</f>
        <v>288.71199999999999</v>
      </c>
      <c r="N841" s="24">
        <v>604</v>
      </c>
      <c r="O841" t="s">
        <v>3264</v>
      </c>
    </row>
    <row r="842" spans="1:15" ht="15" thickBot="1">
      <c r="A842" s="6">
        <v>841</v>
      </c>
      <c r="B842" s="1" t="s">
        <v>2714</v>
      </c>
      <c r="C842" s="1" t="s">
        <v>2768</v>
      </c>
      <c r="D842" s="2">
        <v>111000258</v>
      </c>
      <c r="E842" s="1" t="s">
        <v>45</v>
      </c>
      <c r="F842" s="25">
        <v>87577.04</v>
      </c>
      <c r="G842" s="4">
        <v>43871</v>
      </c>
      <c r="H842" s="4">
        <v>42480</v>
      </c>
      <c r="I842" s="1" t="s">
        <v>762</v>
      </c>
      <c r="J842" s="7" t="s">
        <v>2769</v>
      </c>
      <c r="K842" s="17">
        <v>1966</v>
      </c>
      <c r="L842" t="str">
        <f ca="1">+IF(TODAY()-ICETEX[[#This Row],[fecha_ultimo_movimiento]]&gt;360,"Inactivo","Activo")</f>
        <v>Inactivo</v>
      </c>
      <c r="M842" s="24">
        <f>+VLOOKUP(ICETEX[[#This Row],[fecha_ultimo_movimiento]],UVR!A:B,2,0)</f>
        <v>271.43470000000002</v>
      </c>
      <c r="N842" s="24">
        <v>323</v>
      </c>
      <c r="O842" t="s">
        <v>3264</v>
      </c>
    </row>
    <row r="843" spans="1:15" ht="15" thickBot="1">
      <c r="A843" s="6">
        <v>842</v>
      </c>
      <c r="B843" s="1" t="s">
        <v>2770</v>
      </c>
      <c r="C843" s="1" t="s">
        <v>2771</v>
      </c>
      <c r="D843" s="2">
        <v>221371822</v>
      </c>
      <c r="E843" s="1" t="s">
        <v>12</v>
      </c>
      <c r="F843" s="25">
        <v>114948.32</v>
      </c>
      <c r="G843" s="4">
        <v>45008</v>
      </c>
      <c r="H843" s="4">
        <v>42680</v>
      </c>
      <c r="I843" s="1" t="s">
        <v>1035</v>
      </c>
      <c r="J843" s="8" t="s">
        <v>2772</v>
      </c>
      <c r="K843" s="17">
        <v>829</v>
      </c>
      <c r="L843" t="str">
        <f ca="1">+IF(TODAY()-ICETEX[[#This Row],[fecha_ultimo_movimiento]]&gt;360,"Inactivo","Activo")</f>
        <v>Inactivo</v>
      </c>
      <c r="M843" s="24">
        <f>+VLOOKUP(ICETEX[[#This Row],[fecha_ultimo_movimiento]],UVR!A:B,2,0)</f>
        <v>336.99970000000002</v>
      </c>
      <c r="N843" s="24">
        <v>341</v>
      </c>
      <c r="O843" t="s">
        <v>3264</v>
      </c>
    </row>
    <row r="844" spans="1:15" ht="15" thickBot="1">
      <c r="A844" s="6">
        <v>843</v>
      </c>
      <c r="B844" s="1" t="s">
        <v>2773</v>
      </c>
      <c r="C844" s="1" t="s">
        <v>2774</v>
      </c>
      <c r="D844" s="2">
        <v>42215248</v>
      </c>
      <c r="E844" s="1" t="s">
        <v>12</v>
      </c>
      <c r="F844" s="25">
        <v>162279.98000000001</v>
      </c>
      <c r="G844" s="4">
        <v>44744</v>
      </c>
      <c r="H844" s="4">
        <v>42796</v>
      </c>
      <c r="I844" s="1" t="s">
        <v>538</v>
      </c>
      <c r="J844" s="8" t="s">
        <v>2775</v>
      </c>
      <c r="K844" s="17">
        <v>1093</v>
      </c>
      <c r="L844" t="str">
        <f ca="1">+IF(TODAY()-ICETEX[[#This Row],[fecha_ultimo_movimiento]]&gt;360,"Inactivo","Activo")</f>
        <v>Inactivo</v>
      </c>
      <c r="M844" s="24">
        <f>+VLOOKUP(ICETEX[[#This Row],[fecha_ultimo_movimiento]],UVR!A:B,2,0)</f>
        <v>309.40109999999999</v>
      </c>
      <c r="N844" s="24">
        <v>524</v>
      </c>
      <c r="O844" t="s">
        <v>3264</v>
      </c>
    </row>
    <row r="845" spans="1:15" ht="15" thickBot="1">
      <c r="A845" s="6">
        <v>844</v>
      </c>
      <c r="B845" s="1" t="s">
        <v>2776</v>
      </c>
      <c r="C845" s="1" t="s">
        <v>2777</v>
      </c>
      <c r="D845" s="2">
        <v>121140713</v>
      </c>
      <c r="E845" s="1" t="s">
        <v>12</v>
      </c>
      <c r="F845" s="25">
        <v>102762.4</v>
      </c>
      <c r="G845" s="4">
        <v>44386</v>
      </c>
      <c r="H845" s="4">
        <v>42633</v>
      </c>
      <c r="I845" s="1" t="s">
        <v>475</v>
      </c>
      <c r="J845" s="7" t="s">
        <v>2778</v>
      </c>
      <c r="K845" s="17">
        <v>1451</v>
      </c>
      <c r="L845" t="str">
        <f ca="1">+IF(TODAY()-ICETEX[[#This Row],[fecha_ultimo_movimiento]]&gt;360,"Inactivo","Activo")</f>
        <v>Inactivo</v>
      </c>
      <c r="M845" s="24">
        <f>+VLOOKUP(ICETEX[[#This Row],[fecha_ultimo_movimiento]],UVR!A:B,2,0)</f>
        <v>284.1397</v>
      </c>
      <c r="N845" s="24">
        <v>362</v>
      </c>
      <c r="O845" t="s">
        <v>3264</v>
      </c>
    </row>
    <row r="846" spans="1:15" ht="15" thickBot="1">
      <c r="A846" s="6">
        <v>845</v>
      </c>
      <c r="B846" s="1" t="s">
        <v>2779</v>
      </c>
      <c r="C846" s="1" t="s">
        <v>2780</v>
      </c>
      <c r="D846" s="2">
        <v>265070532</v>
      </c>
      <c r="E846" s="1" t="s">
        <v>12</v>
      </c>
      <c r="F846" s="25">
        <v>103425.23</v>
      </c>
      <c r="G846" s="4">
        <v>45209</v>
      </c>
      <c r="H846" s="4">
        <v>43431</v>
      </c>
      <c r="I846" s="1" t="s">
        <v>1482</v>
      </c>
      <c r="J846" s="7" t="s">
        <v>2781</v>
      </c>
      <c r="K846" s="17">
        <v>628</v>
      </c>
      <c r="L846" t="str">
        <f ca="1">+IF(TODAY()-ICETEX[[#This Row],[fecha_ultimo_movimiento]]&gt;360,"Inactivo","Activo")</f>
        <v>Inactivo</v>
      </c>
      <c r="M846" s="24">
        <f>+VLOOKUP(ICETEX[[#This Row],[fecha_ultimo_movimiento]],UVR!A:B,2,0)</f>
        <v>353.75299999999999</v>
      </c>
      <c r="N846" s="24">
        <v>292</v>
      </c>
      <c r="O846" t="s">
        <v>3265</v>
      </c>
    </row>
    <row r="847" spans="1:15" ht="15" thickBot="1">
      <c r="A847" s="6">
        <v>846</v>
      </c>
      <c r="B847" s="1" t="s">
        <v>2782</v>
      </c>
      <c r="C847" s="1" t="s">
        <v>2783</v>
      </c>
      <c r="D847" s="2">
        <v>71921176</v>
      </c>
      <c r="E847" s="1" t="s">
        <v>12</v>
      </c>
      <c r="F847" s="25">
        <v>50770.43</v>
      </c>
      <c r="G847" s="4">
        <v>44584</v>
      </c>
      <c r="H847" s="4">
        <v>42774</v>
      </c>
      <c r="I847" s="1" t="s">
        <v>127</v>
      </c>
      <c r="J847" s="7" t="s">
        <v>2784</v>
      </c>
      <c r="K847" s="17">
        <v>1253</v>
      </c>
      <c r="L847" t="str">
        <f ca="1">+IF(TODAY()-ICETEX[[#This Row],[fecha_ultimo_movimiento]]&gt;360,"Inactivo","Activo")</f>
        <v>Inactivo</v>
      </c>
      <c r="M847" s="24">
        <f>+VLOOKUP(ICETEX[[#This Row],[fecha_ultimo_movimiento]],UVR!A:B,2,0)</f>
        <v>289.86009999999999</v>
      </c>
      <c r="N847" s="24">
        <v>175</v>
      </c>
      <c r="O847" t="s">
        <v>3265</v>
      </c>
    </row>
    <row r="848" spans="1:15" ht="15" thickBot="1">
      <c r="A848" s="6">
        <v>847</v>
      </c>
      <c r="B848" s="1" t="s">
        <v>2785</v>
      </c>
      <c r="C848" s="1" t="s">
        <v>2786</v>
      </c>
      <c r="D848" s="2">
        <v>124001545</v>
      </c>
      <c r="E848" s="1" t="s">
        <v>45</v>
      </c>
      <c r="F848" s="25">
        <v>204318.82</v>
      </c>
      <c r="G848" s="4">
        <v>43998</v>
      </c>
      <c r="H848" s="4">
        <v>42763</v>
      </c>
      <c r="I848" s="1" t="s">
        <v>383</v>
      </c>
      <c r="J848" s="7" t="s">
        <v>2787</v>
      </c>
      <c r="K848" s="17">
        <v>1839</v>
      </c>
      <c r="L848" t="str">
        <f ca="1">+IF(TODAY()-ICETEX[[#This Row],[fecha_ultimo_movimiento]]&gt;360,"Inactivo","Activo")</f>
        <v>Inactivo</v>
      </c>
      <c r="M848" s="24">
        <f>+VLOOKUP(ICETEX[[#This Row],[fecha_ultimo_movimiento]],UVR!A:B,2,0)</f>
        <v>276.49279999999999</v>
      </c>
      <c r="N848" s="24">
        <v>739</v>
      </c>
      <c r="O848" t="s">
        <v>3264</v>
      </c>
    </row>
    <row r="849" spans="1:15" ht="15" thickBot="1">
      <c r="A849" s="6">
        <v>848</v>
      </c>
      <c r="B849" s="1" t="s">
        <v>2788</v>
      </c>
      <c r="C849" s="1" t="s">
        <v>2789</v>
      </c>
      <c r="D849" s="2">
        <v>242272188</v>
      </c>
      <c r="E849" s="1" t="s">
        <v>12</v>
      </c>
      <c r="F849" s="25">
        <v>157326.1</v>
      </c>
      <c r="G849" s="4">
        <v>44805</v>
      </c>
      <c r="H849" s="4">
        <v>42910</v>
      </c>
      <c r="I849" s="1" t="s">
        <v>131</v>
      </c>
      <c r="J849" s="7" t="s">
        <v>2790</v>
      </c>
      <c r="K849" s="17">
        <v>1032</v>
      </c>
      <c r="L849" t="str">
        <f ca="1">+IF(TODAY()-ICETEX[[#This Row],[fecha_ultimo_movimiento]]&gt;360,"Inactivo","Activo")</f>
        <v>Inactivo</v>
      </c>
      <c r="M849" s="24">
        <f>+VLOOKUP(ICETEX[[#This Row],[fecha_ultimo_movimiento]],UVR!A:B,2,0)</f>
        <v>313.49220000000003</v>
      </c>
      <c r="N849" s="24">
        <v>502</v>
      </c>
      <c r="O849" t="s">
        <v>3264</v>
      </c>
    </row>
    <row r="850" spans="1:15" ht="15" thickBot="1">
      <c r="A850" s="6">
        <v>849</v>
      </c>
      <c r="B850" s="1" t="s">
        <v>2791</v>
      </c>
      <c r="C850" s="1" t="s">
        <v>2792</v>
      </c>
      <c r="D850" s="2">
        <v>67016354</v>
      </c>
      <c r="E850" s="1" t="s">
        <v>45</v>
      </c>
      <c r="F850" s="25">
        <v>44840.83</v>
      </c>
      <c r="G850" s="4">
        <v>45254</v>
      </c>
      <c r="H850" s="4">
        <v>42700</v>
      </c>
      <c r="I850" s="1" t="s">
        <v>447</v>
      </c>
      <c r="J850" s="7" t="s">
        <v>2793</v>
      </c>
      <c r="K850" s="17">
        <v>583</v>
      </c>
      <c r="L850" t="str">
        <f ca="1">+IF(TODAY()-ICETEX[[#This Row],[fecha_ultimo_movimiento]]&gt;360,"Inactivo","Activo")</f>
        <v>Inactivo</v>
      </c>
      <c r="M850" s="24">
        <f>+VLOOKUP(ICETEX[[#This Row],[fecha_ultimo_movimiento]],UVR!A:B,2,0)</f>
        <v>356.34379999999999</v>
      </c>
      <c r="N850" s="24">
        <v>126</v>
      </c>
      <c r="O850" t="s">
        <v>3265</v>
      </c>
    </row>
    <row r="851" spans="1:15" ht="15" thickBot="1">
      <c r="A851" s="6">
        <v>850</v>
      </c>
      <c r="B851" s="1" t="s">
        <v>2794</v>
      </c>
      <c r="C851" s="1" t="s">
        <v>2795</v>
      </c>
      <c r="D851" s="2">
        <v>41202812</v>
      </c>
      <c r="E851" s="1" t="s">
        <v>45</v>
      </c>
      <c r="F851" s="25">
        <v>199951.98</v>
      </c>
      <c r="G851" s="4">
        <v>44046</v>
      </c>
      <c r="H851" s="4">
        <v>42688</v>
      </c>
      <c r="I851" s="1" t="s">
        <v>1014</v>
      </c>
      <c r="J851" s="7" t="s">
        <v>2796</v>
      </c>
      <c r="K851" s="17">
        <v>1791</v>
      </c>
      <c r="L851" t="str">
        <f ca="1">+IF(TODAY()-ICETEX[[#This Row],[fecha_ultimo_movimiento]]&gt;360,"Inactivo","Activo")</f>
        <v>Inactivo</v>
      </c>
      <c r="M851" s="24">
        <f>+VLOOKUP(ICETEX[[#This Row],[fecha_ultimo_movimiento]],UVR!A:B,2,0)</f>
        <v>274.995</v>
      </c>
      <c r="N851" s="24">
        <v>727</v>
      </c>
      <c r="O851" t="s">
        <v>3264</v>
      </c>
    </row>
    <row r="852" spans="1:15" ht="15" thickBot="1">
      <c r="A852" s="6">
        <v>851</v>
      </c>
      <c r="B852" s="1" t="s">
        <v>2797</v>
      </c>
      <c r="C852" s="1" t="s">
        <v>2798</v>
      </c>
      <c r="D852" s="2">
        <v>61000078</v>
      </c>
      <c r="E852" s="1" t="s">
        <v>45</v>
      </c>
      <c r="F852" s="25">
        <v>147156.85</v>
      </c>
      <c r="G852" s="4">
        <v>45625</v>
      </c>
      <c r="H852" s="4">
        <v>42909</v>
      </c>
      <c r="I852" s="1" t="s">
        <v>13</v>
      </c>
      <c r="J852" s="7" t="s">
        <v>2799</v>
      </c>
      <c r="K852" s="17">
        <v>212</v>
      </c>
      <c r="L852" t="str">
        <f ca="1">+IF(TODAY()-ICETEX[[#This Row],[fecha_ultimo_movimiento]]&gt;360,"Inactivo","Activo")</f>
        <v>Activo</v>
      </c>
      <c r="M852" s="24">
        <f>+VLOOKUP(ICETEX[[#This Row],[fecha_ultimo_movimiento]],UVR!A:B,2,0)</f>
        <v>376.51350000000002</v>
      </c>
      <c r="N852" s="24">
        <v>391</v>
      </c>
      <c r="O852" t="s">
        <v>3264</v>
      </c>
    </row>
    <row r="853" spans="1:15" ht="15" thickBot="1">
      <c r="A853" s="6">
        <v>852</v>
      </c>
      <c r="B853" s="1" t="s">
        <v>2233</v>
      </c>
      <c r="C853" s="1" t="s">
        <v>2800</v>
      </c>
      <c r="D853" s="2">
        <v>31304720</v>
      </c>
      <c r="E853" s="1" t="s">
        <v>12</v>
      </c>
      <c r="F853" s="25">
        <v>202812.32</v>
      </c>
      <c r="G853" s="4">
        <v>44104</v>
      </c>
      <c r="H853" s="4">
        <v>42503</v>
      </c>
      <c r="I853" s="1" t="s">
        <v>1209</v>
      </c>
      <c r="J853" s="7" t="s">
        <v>2801</v>
      </c>
      <c r="K853" s="17">
        <v>1733</v>
      </c>
      <c r="L853" t="str">
        <f ca="1">+IF(TODAY()-ICETEX[[#This Row],[fecha_ultimo_movimiento]]&gt;360,"Inactivo","Activo")</f>
        <v>Inactivo</v>
      </c>
      <c r="M853" s="24">
        <f>+VLOOKUP(ICETEX[[#This Row],[fecha_ultimo_movimiento]],UVR!A:B,2,0)</f>
        <v>274.5763</v>
      </c>
      <c r="N853" s="24">
        <v>739</v>
      </c>
      <c r="O853" t="s">
        <v>3264</v>
      </c>
    </row>
    <row r="854" spans="1:15" ht="15" thickBot="1">
      <c r="A854" s="6">
        <v>853</v>
      </c>
      <c r="B854" s="1" t="s">
        <v>2802</v>
      </c>
      <c r="C854" s="1" t="s">
        <v>2803</v>
      </c>
      <c r="D854" s="2">
        <v>121140742</v>
      </c>
      <c r="E854" s="1" t="s">
        <v>45</v>
      </c>
      <c r="F854" s="25">
        <v>32912.75</v>
      </c>
      <c r="G854" s="4">
        <v>43845</v>
      </c>
      <c r="H854" s="4">
        <v>42549</v>
      </c>
      <c r="I854" s="1" t="s">
        <v>475</v>
      </c>
      <c r="J854" s="7" t="s">
        <v>2804</v>
      </c>
      <c r="K854" s="17">
        <v>1992</v>
      </c>
      <c r="L854" t="str">
        <f ca="1">+IF(TODAY()-ICETEX[[#This Row],[fecha_ultimo_movimiento]]&gt;360,"Inactivo","Activo")</f>
        <v>Inactivo</v>
      </c>
      <c r="M854" s="24">
        <f>+VLOOKUP(ICETEX[[#This Row],[fecha_ultimo_movimiento]],UVR!A:B,2,0)</f>
        <v>270.8442</v>
      </c>
      <c r="N854" s="24">
        <v>122</v>
      </c>
      <c r="O854" t="s">
        <v>3265</v>
      </c>
    </row>
    <row r="855" spans="1:15" ht="15" thickBot="1">
      <c r="A855" s="6">
        <v>854</v>
      </c>
      <c r="B855" s="1" t="s">
        <v>2805</v>
      </c>
      <c r="C855" s="1" t="s">
        <v>2806</v>
      </c>
      <c r="D855" s="2">
        <v>53202130</v>
      </c>
      <c r="E855" s="1" t="s">
        <v>12</v>
      </c>
      <c r="F855" s="25">
        <v>74575.88</v>
      </c>
      <c r="G855" s="4">
        <v>44866</v>
      </c>
      <c r="H855" s="4">
        <v>42616</v>
      </c>
      <c r="I855" s="1" t="s">
        <v>17</v>
      </c>
      <c r="J855" s="7" t="s">
        <v>860</v>
      </c>
      <c r="K855" s="17">
        <v>971</v>
      </c>
      <c r="L855" t="str">
        <f ca="1">+IF(TODAY()-ICETEX[[#This Row],[fecha_ultimo_movimiento]]&gt;360,"Inactivo","Activo")</f>
        <v>Inactivo</v>
      </c>
      <c r="M855" s="24">
        <f>+VLOOKUP(ICETEX[[#This Row],[fecha_ultimo_movimiento]],UVR!A:B,2,0)</f>
        <v>319.46339999999998</v>
      </c>
      <c r="N855" s="24">
        <v>233</v>
      </c>
      <c r="O855" t="s">
        <v>3265</v>
      </c>
    </row>
    <row r="856" spans="1:15" ht="15" thickBot="1">
      <c r="A856" s="6">
        <v>855</v>
      </c>
      <c r="B856" s="1" t="s">
        <v>2807</v>
      </c>
      <c r="C856" s="1" t="s">
        <v>2249</v>
      </c>
      <c r="D856" s="2">
        <v>75903763</v>
      </c>
      <c r="E856" s="1" t="s">
        <v>12</v>
      </c>
      <c r="F856" s="25">
        <v>51401.73</v>
      </c>
      <c r="G856" s="4">
        <v>44936</v>
      </c>
      <c r="H856" s="4">
        <v>42484</v>
      </c>
      <c r="I856" s="1" t="s">
        <v>2808</v>
      </c>
      <c r="J856" s="7" t="s">
        <v>2809</v>
      </c>
      <c r="K856" s="17">
        <v>901</v>
      </c>
      <c r="L856" t="str">
        <f ca="1">+IF(TODAY()-ICETEX[[#This Row],[fecha_ultimo_movimiento]]&gt;360,"Inactivo","Activo")</f>
        <v>Inactivo</v>
      </c>
      <c r="M856" s="24">
        <f>+VLOOKUP(ICETEX[[#This Row],[fecha_ultimo_movimiento]],UVR!A:B,2,0)</f>
        <v>325.197</v>
      </c>
      <c r="N856" s="24">
        <v>158</v>
      </c>
      <c r="O856" t="s">
        <v>3265</v>
      </c>
    </row>
    <row r="857" spans="1:15" ht="15" thickBot="1">
      <c r="A857" s="6">
        <v>856</v>
      </c>
      <c r="B857" s="1" t="s">
        <v>1769</v>
      </c>
      <c r="C857" s="1" t="s">
        <v>2810</v>
      </c>
      <c r="D857" s="2">
        <v>122201198</v>
      </c>
      <c r="E857" s="1" t="s">
        <v>12</v>
      </c>
      <c r="F857" s="25">
        <v>106379.4</v>
      </c>
      <c r="G857" s="4">
        <v>45038</v>
      </c>
      <c r="H857" s="4">
        <v>43463</v>
      </c>
      <c r="I857" s="1" t="s">
        <v>2811</v>
      </c>
      <c r="J857" s="7" t="s">
        <v>2812</v>
      </c>
      <c r="K857" s="17">
        <v>799</v>
      </c>
      <c r="L857" t="str">
        <f ca="1">+IF(TODAY()-ICETEX[[#This Row],[fecha_ultimo_movimiento]]&gt;360,"Inactivo","Activo")</f>
        <v>Inactivo</v>
      </c>
      <c r="M857" s="24">
        <f>+VLOOKUP(ICETEX[[#This Row],[fecha_ultimo_movimiento]],UVR!A:B,2,0)</f>
        <v>341.97390000000001</v>
      </c>
      <c r="N857" s="24">
        <v>311</v>
      </c>
      <c r="O857" t="s">
        <v>3265</v>
      </c>
    </row>
    <row r="858" spans="1:15" ht="15" thickBot="1">
      <c r="A858" s="6">
        <v>857</v>
      </c>
      <c r="B858" s="1" t="s">
        <v>2813</v>
      </c>
      <c r="C858" s="1" t="s">
        <v>2814</v>
      </c>
      <c r="D858" s="2">
        <v>211370354</v>
      </c>
      <c r="E858" s="1" t="s">
        <v>12</v>
      </c>
      <c r="F858" s="25">
        <v>139440.46</v>
      </c>
      <c r="G858" s="4">
        <v>45219</v>
      </c>
      <c r="H858" s="4">
        <v>42649</v>
      </c>
      <c r="I858" s="1" t="s">
        <v>702</v>
      </c>
      <c r="J858" s="7" t="s">
        <v>2815</v>
      </c>
      <c r="K858" s="17">
        <v>618</v>
      </c>
      <c r="L858" t="str">
        <f ca="1">+IF(TODAY()-ICETEX[[#This Row],[fecha_ultimo_movimiento]]&gt;360,"Inactivo","Activo")</f>
        <v>Inactivo</v>
      </c>
      <c r="M858" s="24">
        <f>+VLOOKUP(ICETEX[[#This Row],[fecha_ultimo_movimiento]],UVR!A:B,2,0)</f>
        <v>354.47230000000002</v>
      </c>
      <c r="N858" s="24">
        <v>393</v>
      </c>
      <c r="O858" t="s">
        <v>3264</v>
      </c>
    </row>
    <row r="859" spans="1:15" ht="15" thickBot="1">
      <c r="A859" s="6">
        <v>858</v>
      </c>
      <c r="B859" s="1" t="s">
        <v>2816</v>
      </c>
      <c r="C859" s="1" t="s">
        <v>2817</v>
      </c>
      <c r="D859" s="2">
        <v>83900680</v>
      </c>
      <c r="E859" s="1" t="s">
        <v>12</v>
      </c>
      <c r="F859" s="25">
        <v>102524.47</v>
      </c>
      <c r="G859" s="4">
        <v>44239</v>
      </c>
      <c r="H859" s="4">
        <v>42420</v>
      </c>
      <c r="I859" s="1" t="s">
        <v>213</v>
      </c>
      <c r="J859" s="7" t="s">
        <v>2818</v>
      </c>
      <c r="K859" s="17">
        <v>1598</v>
      </c>
      <c r="L859" t="str">
        <f ca="1">+IF(TODAY()-ICETEX[[#This Row],[fecha_ultimo_movimiento]]&gt;360,"Inactivo","Activo")</f>
        <v>Inactivo</v>
      </c>
      <c r="M859" s="24">
        <f>+VLOOKUP(ICETEX[[#This Row],[fecha_ultimo_movimiento]],UVR!A:B,2,0)</f>
        <v>275.80610000000001</v>
      </c>
      <c r="N859" s="24">
        <v>372</v>
      </c>
      <c r="O859" t="s">
        <v>3264</v>
      </c>
    </row>
    <row r="860" spans="1:15" ht="15" thickBot="1">
      <c r="A860" s="6">
        <v>859</v>
      </c>
      <c r="B860" s="1" t="s">
        <v>2819</v>
      </c>
      <c r="C860" s="1" t="s">
        <v>2820</v>
      </c>
      <c r="D860" s="2">
        <v>102103999</v>
      </c>
      <c r="E860" s="1" t="s">
        <v>12</v>
      </c>
      <c r="F860" s="25">
        <v>109193.57</v>
      </c>
      <c r="G860" s="4">
        <v>44412</v>
      </c>
      <c r="H860" s="4">
        <v>43317</v>
      </c>
      <c r="I860" s="1" t="s">
        <v>54</v>
      </c>
      <c r="J860" s="7" t="s">
        <v>2821</v>
      </c>
      <c r="K860" s="17">
        <v>1425</v>
      </c>
      <c r="L860" t="str">
        <f ca="1">+IF(TODAY()-ICETEX[[#This Row],[fecha_ultimo_movimiento]]&gt;360,"Inactivo","Activo")</f>
        <v>Inactivo</v>
      </c>
      <c r="M860" s="24">
        <f>+VLOOKUP(ICETEX[[#This Row],[fecha_ultimo_movimiento]],UVR!A:B,2,0)</f>
        <v>284.61399999999998</v>
      </c>
      <c r="N860" s="24">
        <v>384</v>
      </c>
      <c r="O860" t="s">
        <v>3264</v>
      </c>
    </row>
    <row r="861" spans="1:15" ht="15" thickBot="1">
      <c r="A861" s="6">
        <v>860</v>
      </c>
      <c r="B861" s="1" t="s">
        <v>2822</v>
      </c>
      <c r="C861" s="1" t="s">
        <v>2823</v>
      </c>
      <c r="D861" s="2">
        <v>31307866</v>
      </c>
      <c r="E861" s="1" t="s">
        <v>45</v>
      </c>
      <c r="F861" s="25">
        <v>76295.92</v>
      </c>
      <c r="G861" s="4">
        <v>44342</v>
      </c>
      <c r="H861" s="4">
        <v>42611</v>
      </c>
      <c r="I861" s="1" t="s">
        <v>88</v>
      </c>
      <c r="J861" s="7" t="s">
        <v>2824</v>
      </c>
      <c r="K861" s="17">
        <v>1495</v>
      </c>
      <c r="L861" t="str">
        <f ca="1">+IF(TODAY()-ICETEX[[#This Row],[fecha_ultimo_movimiento]]&gt;360,"Inactivo","Activo")</f>
        <v>Inactivo</v>
      </c>
      <c r="M861" s="24">
        <f>+VLOOKUP(ICETEX[[#This Row],[fecha_ultimo_movimiento]],UVR!A:B,2,0)</f>
        <v>280.81909999999999</v>
      </c>
      <c r="N861" s="24">
        <v>272</v>
      </c>
      <c r="O861" t="s">
        <v>3265</v>
      </c>
    </row>
    <row r="862" spans="1:15" ht="15" thickBot="1">
      <c r="A862" s="6">
        <v>861</v>
      </c>
      <c r="B862" s="1" t="s">
        <v>2825</v>
      </c>
      <c r="C862" s="1" t="s">
        <v>2826</v>
      </c>
      <c r="D862" s="2">
        <v>103104353</v>
      </c>
      <c r="E862" s="1" t="s">
        <v>45</v>
      </c>
      <c r="F862" s="25">
        <v>64701.61</v>
      </c>
      <c r="G862" s="4">
        <v>44718</v>
      </c>
      <c r="H862" s="4">
        <v>42486</v>
      </c>
      <c r="I862" s="1" t="s">
        <v>2827</v>
      </c>
      <c r="J862" s="7" t="s">
        <v>2828</v>
      </c>
      <c r="K862" s="17">
        <v>1119</v>
      </c>
      <c r="L862" t="str">
        <f ca="1">+IF(TODAY()-ICETEX[[#This Row],[fecha_ultimo_movimiento]]&gt;360,"Inactivo","Activo")</f>
        <v>Inactivo</v>
      </c>
      <c r="M862" s="24">
        <f>+VLOOKUP(ICETEX[[#This Row],[fecha_ultimo_movimiento]],UVR!A:B,2,0)</f>
        <v>306.82940000000002</v>
      </c>
      <c r="N862" s="24">
        <v>211</v>
      </c>
      <c r="O862" t="s">
        <v>3265</v>
      </c>
    </row>
    <row r="863" spans="1:15" ht="15" thickBot="1">
      <c r="A863" s="6">
        <v>862</v>
      </c>
      <c r="B863" s="1" t="s">
        <v>2829</v>
      </c>
      <c r="C863" s="1" t="s">
        <v>2830</v>
      </c>
      <c r="D863" s="2">
        <v>101019084</v>
      </c>
      <c r="E863" s="1" t="s">
        <v>12</v>
      </c>
      <c r="F863" s="25">
        <v>169867.22</v>
      </c>
      <c r="G863" s="4">
        <v>45101</v>
      </c>
      <c r="H863" s="4">
        <v>42939</v>
      </c>
      <c r="I863" s="1" t="s">
        <v>471</v>
      </c>
      <c r="J863" s="7" t="s">
        <v>2831</v>
      </c>
      <c r="K863" s="17">
        <v>736</v>
      </c>
      <c r="L863" t="str">
        <f ca="1">+IF(TODAY()-ICETEX[[#This Row],[fecha_ultimo_movimiento]]&gt;360,"Inactivo","Activo")</f>
        <v>Inactivo</v>
      </c>
      <c r="M863" s="24">
        <f>+VLOOKUP(ICETEX[[#This Row],[fecha_ultimo_movimiento]],UVR!A:B,2,0)</f>
        <v>347.85969999999998</v>
      </c>
      <c r="N863" s="24">
        <v>488</v>
      </c>
      <c r="O863" t="s">
        <v>3264</v>
      </c>
    </row>
    <row r="864" spans="1:15" ht="15" thickBot="1">
      <c r="A864" s="6">
        <v>863</v>
      </c>
      <c r="B864" s="1" t="s">
        <v>2832</v>
      </c>
      <c r="C864" s="1" t="s">
        <v>2833</v>
      </c>
      <c r="D864" s="2">
        <v>121200158</v>
      </c>
      <c r="E864" s="1" t="s">
        <v>12</v>
      </c>
      <c r="F864" s="25">
        <v>181541.24</v>
      </c>
      <c r="G864" s="4">
        <v>45159</v>
      </c>
      <c r="H864" s="4">
        <v>43100</v>
      </c>
      <c r="I864" s="1" t="s">
        <v>13</v>
      </c>
      <c r="J864" s="7" t="s">
        <v>2834</v>
      </c>
      <c r="K864" s="17">
        <v>678</v>
      </c>
      <c r="L864" t="str">
        <f ca="1">+IF(TODAY()-ICETEX[[#This Row],[fecha_ultimo_movimiento]]&gt;360,"Inactivo","Activo")</f>
        <v>Inactivo</v>
      </c>
      <c r="M864" s="24">
        <f>+VLOOKUP(ICETEX[[#This Row],[fecha_ultimo_movimiento]],UVR!A:B,2,0)</f>
        <v>350.29079999999999</v>
      </c>
      <c r="N864" s="24">
        <v>518</v>
      </c>
      <c r="O864" t="s">
        <v>3264</v>
      </c>
    </row>
    <row r="865" spans="1:15" ht="15" thickBot="1">
      <c r="A865" s="6">
        <v>864</v>
      </c>
      <c r="B865" s="1" t="s">
        <v>2835</v>
      </c>
      <c r="C865" s="1" t="s">
        <v>2836</v>
      </c>
      <c r="D865" s="2">
        <v>53112673</v>
      </c>
      <c r="E865" s="1" t="s">
        <v>12</v>
      </c>
      <c r="F865" s="25">
        <v>112861.87</v>
      </c>
      <c r="G865" s="4">
        <v>44379</v>
      </c>
      <c r="H865" s="4">
        <v>43443</v>
      </c>
      <c r="I865" s="1" t="s">
        <v>460</v>
      </c>
      <c r="J865" s="8" t="s">
        <v>2837</v>
      </c>
      <c r="K865" s="17">
        <v>1458</v>
      </c>
      <c r="L865" t="str">
        <f ca="1">+IF(TODAY()-ICETEX[[#This Row],[fecha_ultimo_movimiento]]&gt;360,"Inactivo","Activo")</f>
        <v>Inactivo</v>
      </c>
      <c r="M865" s="24">
        <f>+VLOOKUP(ICETEX[[#This Row],[fecha_ultimo_movimiento]],UVR!A:B,2,0)</f>
        <v>283.48079999999999</v>
      </c>
      <c r="N865" s="24">
        <v>398</v>
      </c>
      <c r="O865" t="s">
        <v>3264</v>
      </c>
    </row>
    <row r="866" spans="1:15" ht="15" thickBot="1">
      <c r="A866" s="6">
        <v>865</v>
      </c>
      <c r="B866" s="1" t="s">
        <v>2838</v>
      </c>
      <c r="C866" s="1" t="s">
        <v>2839</v>
      </c>
      <c r="D866" s="2">
        <v>122106109</v>
      </c>
      <c r="E866" s="1" t="s">
        <v>45</v>
      </c>
      <c r="F866" s="25">
        <v>71443.28</v>
      </c>
      <c r="G866" s="4">
        <v>44612</v>
      </c>
      <c r="H866" s="4">
        <v>43330</v>
      </c>
      <c r="I866" s="1" t="s">
        <v>2840</v>
      </c>
      <c r="J866" s="7" t="s">
        <v>2841</v>
      </c>
      <c r="K866" s="17">
        <v>1225</v>
      </c>
      <c r="L866" t="str">
        <f ca="1">+IF(TODAY()-ICETEX[[#This Row],[fecha_ultimo_movimiento]]&gt;360,"Inactivo","Activo")</f>
        <v>Inactivo</v>
      </c>
      <c r="M866" s="24">
        <f>+VLOOKUP(ICETEX[[#This Row],[fecha_ultimo_movimiento]],UVR!A:B,2,0)</f>
        <v>292.29169999999999</v>
      </c>
      <c r="N866" s="24">
        <v>244</v>
      </c>
      <c r="O866" t="s">
        <v>3265</v>
      </c>
    </row>
    <row r="867" spans="1:15" ht="15" thickBot="1">
      <c r="A867" s="6">
        <v>866</v>
      </c>
      <c r="B867" s="1" t="s">
        <v>1965</v>
      </c>
      <c r="C867" s="1" t="s">
        <v>2842</v>
      </c>
      <c r="D867" s="2">
        <v>72408708</v>
      </c>
      <c r="E867" s="1" t="s">
        <v>12</v>
      </c>
      <c r="F867" s="25">
        <v>184156.33</v>
      </c>
      <c r="G867" s="4">
        <v>45335</v>
      </c>
      <c r="H867" s="4">
        <v>42667</v>
      </c>
      <c r="I867" s="1" t="s">
        <v>319</v>
      </c>
      <c r="J867" s="7" t="s">
        <v>2843</v>
      </c>
      <c r="K867" s="17">
        <v>502</v>
      </c>
      <c r="L867" t="str">
        <f ca="1">+IF(TODAY()-ICETEX[[#This Row],[fecha_ultimo_movimiento]]&gt;360,"Inactivo","Activo")</f>
        <v>Inactivo</v>
      </c>
      <c r="M867" s="24">
        <f>+VLOOKUP(ICETEX[[#This Row],[fecha_ultimo_movimiento]],UVR!A:B,2,0)</f>
        <v>360.15449999999998</v>
      </c>
      <c r="N867" s="24">
        <v>511</v>
      </c>
      <c r="O867" t="s">
        <v>3264</v>
      </c>
    </row>
    <row r="868" spans="1:15" ht="15" thickBot="1">
      <c r="A868" s="6">
        <v>867</v>
      </c>
      <c r="B868" s="1" t="s">
        <v>2844</v>
      </c>
      <c r="C868" s="1" t="s">
        <v>2845</v>
      </c>
      <c r="D868" s="2">
        <v>73912073</v>
      </c>
      <c r="E868" s="1" t="s">
        <v>12</v>
      </c>
      <c r="F868" s="25">
        <v>133782.28</v>
      </c>
      <c r="G868" s="4">
        <v>44506</v>
      </c>
      <c r="H868" s="4">
        <v>43162</v>
      </c>
      <c r="I868" s="1" t="s">
        <v>2846</v>
      </c>
      <c r="J868" s="7" t="s">
        <v>2847</v>
      </c>
      <c r="K868" s="17">
        <v>1331</v>
      </c>
      <c r="L868" t="str">
        <f ca="1">+IF(TODAY()-ICETEX[[#This Row],[fecha_ultimo_movimiento]]&gt;360,"Inactivo","Activo")</f>
        <v>Inactivo</v>
      </c>
      <c r="M868" s="24">
        <f>+VLOOKUP(ICETEX[[#This Row],[fecha_ultimo_movimiento]],UVR!A:B,2,0)</f>
        <v>287.53149999999999</v>
      </c>
      <c r="N868" s="24">
        <v>465</v>
      </c>
      <c r="O868" t="s">
        <v>3264</v>
      </c>
    </row>
    <row r="869" spans="1:15" ht="15" thickBot="1">
      <c r="A869" s="6">
        <v>868</v>
      </c>
      <c r="B869" s="1" t="s">
        <v>2848</v>
      </c>
      <c r="C869" s="1" t="s">
        <v>2849</v>
      </c>
      <c r="D869" s="2">
        <v>84305129</v>
      </c>
      <c r="E869" s="1" t="s">
        <v>45</v>
      </c>
      <c r="F869" s="25">
        <v>125696.67</v>
      </c>
      <c r="G869" s="4">
        <v>44433</v>
      </c>
      <c r="H869" s="4">
        <v>43059</v>
      </c>
      <c r="I869" s="1" t="s">
        <v>135</v>
      </c>
      <c r="J869" s="7" t="s">
        <v>2216</v>
      </c>
      <c r="K869" s="17">
        <v>1404</v>
      </c>
      <c r="L869" t="str">
        <f ca="1">+IF(TODAY()-ICETEX[[#This Row],[fecha_ultimo_movimiento]]&gt;360,"Inactivo","Activo")</f>
        <v>Inactivo</v>
      </c>
      <c r="M869" s="24">
        <f>+VLOOKUP(ICETEX[[#This Row],[fecha_ultimo_movimiento]],UVR!A:B,2,0)</f>
        <v>284.85680000000002</v>
      </c>
      <c r="N869" s="24">
        <v>441</v>
      </c>
      <c r="O869" t="s">
        <v>3264</v>
      </c>
    </row>
    <row r="870" spans="1:15" ht="15" thickBot="1">
      <c r="A870" s="6">
        <v>869</v>
      </c>
      <c r="B870" s="1" t="s">
        <v>2850</v>
      </c>
      <c r="C870" s="1" t="s">
        <v>2851</v>
      </c>
      <c r="D870" s="2">
        <v>75906171</v>
      </c>
      <c r="E870" s="1" t="s">
        <v>12</v>
      </c>
      <c r="F870" s="25">
        <v>194216.68</v>
      </c>
      <c r="G870" s="4">
        <v>45242</v>
      </c>
      <c r="H870" s="4">
        <v>42775</v>
      </c>
      <c r="I870" s="1" t="s">
        <v>2852</v>
      </c>
      <c r="J870" s="7" t="s">
        <v>2853</v>
      </c>
      <c r="K870" s="17">
        <v>595</v>
      </c>
      <c r="L870" t="str">
        <f ca="1">+IF(TODAY()-ICETEX[[#This Row],[fecha_ultimo_movimiento]]&gt;360,"Inactivo","Activo")</f>
        <v>Inactivo</v>
      </c>
      <c r="M870" s="24">
        <f>+VLOOKUP(ICETEX[[#This Row],[fecha_ultimo_movimiento]],UVR!A:B,2,0)</f>
        <v>355.89150000000001</v>
      </c>
      <c r="N870" s="24">
        <v>546</v>
      </c>
      <c r="O870" t="s">
        <v>3264</v>
      </c>
    </row>
    <row r="871" spans="1:15" ht="15" thickBot="1">
      <c r="A871" s="6">
        <v>870</v>
      </c>
      <c r="B871" s="1" t="s">
        <v>2854</v>
      </c>
      <c r="C871" s="1" t="s">
        <v>2855</v>
      </c>
      <c r="D871" s="2">
        <v>63100552</v>
      </c>
      <c r="E871" s="1" t="s">
        <v>12</v>
      </c>
      <c r="F871" s="25">
        <v>104973.16</v>
      </c>
      <c r="G871" s="4">
        <v>45828</v>
      </c>
      <c r="H871" s="4">
        <v>43397</v>
      </c>
      <c r="I871" s="1" t="s">
        <v>13</v>
      </c>
      <c r="J871" s="7" t="s">
        <v>2856</v>
      </c>
      <c r="K871" s="17">
        <v>9</v>
      </c>
      <c r="L871" t="str">
        <f ca="1">+IF(TODAY()-ICETEX[[#This Row],[fecha_ultimo_movimiento]]&gt;360,"Inactivo","Activo")</f>
        <v>Activo</v>
      </c>
      <c r="M871" s="24">
        <f>+VLOOKUP(ICETEX[[#This Row],[fecha_ultimo_movimiento]],UVR!A:B,2,0)</f>
        <v>391.71499999999997</v>
      </c>
      <c r="N871" s="24">
        <v>268</v>
      </c>
      <c r="O871" t="s">
        <v>3264</v>
      </c>
    </row>
    <row r="872" spans="1:15" ht="15" thickBot="1">
      <c r="A872" s="6">
        <v>871</v>
      </c>
      <c r="B872" s="1" t="s">
        <v>2857</v>
      </c>
      <c r="C872" s="1" t="s">
        <v>2858</v>
      </c>
      <c r="D872" s="2">
        <v>71108669</v>
      </c>
      <c r="E872" s="1" t="s">
        <v>12</v>
      </c>
      <c r="F872" s="25">
        <v>82585.289999999994</v>
      </c>
      <c r="G872" s="4">
        <v>44323</v>
      </c>
      <c r="H872" s="4">
        <v>42760</v>
      </c>
      <c r="I872" s="1" t="s">
        <v>1690</v>
      </c>
      <c r="J872" s="7" t="s">
        <v>2859</v>
      </c>
      <c r="K872" s="17">
        <v>1514</v>
      </c>
      <c r="L872" t="str">
        <f ca="1">+IF(TODAY()-ICETEX[[#This Row],[fecha_ultimo_movimiento]]&gt;360,"Inactivo","Activo")</f>
        <v>Inactivo</v>
      </c>
      <c r="M872" s="24">
        <f>+VLOOKUP(ICETEX[[#This Row],[fecha_ultimo_movimiento]],UVR!A:B,2,0)</f>
        <v>279.85359999999997</v>
      </c>
      <c r="N872" s="24">
        <v>295</v>
      </c>
      <c r="O872" t="s">
        <v>3265</v>
      </c>
    </row>
    <row r="873" spans="1:15" ht="15" thickBot="1">
      <c r="A873" s="6">
        <v>872</v>
      </c>
      <c r="B873" s="1" t="s">
        <v>2860</v>
      </c>
      <c r="C873" s="1" t="s">
        <v>2861</v>
      </c>
      <c r="D873" s="2">
        <v>41002711</v>
      </c>
      <c r="E873" s="1" t="s">
        <v>12</v>
      </c>
      <c r="F873" s="25">
        <v>185756.39</v>
      </c>
      <c r="G873" s="4">
        <v>44874</v>
      </c>
      <c r="H873" s="4">
        <v>42917</v>
      </c>
      <c r="I873" s="1" t="s">
        <v>131</v>
      </c>
      <c r="J873" s="7" t="s">
        <v>2862</v>
      </c>
      <c r="K873" s="17">
        <v>963</v>
      </c>
      <c r="L873" t="str">
        <f ca="1">+IF(TODAY()-ICETEX[[#This Row],[fecha_ultimo_movimiento]]&gt;360,"Inactivo","Activo")</f>
        <v>Inactivo</v>
      </c>
      <c r="M873" s="24">
        <f>+VLOOKUP(ICETEX[[#This Row],[fecha_ultimo_movimiento]],UVR!A:B,2,0)</f>
        <v>320.22750000000002</v>
      </c>
      <c r="N873" s="24">
        <v>580</v>
      </c>
      <c r="O873" t="s">
        <v>3264</v>
      </c>
    </row>
    <row r="874" spans="1:15" ht="15" thickBot="1">
      <c r="A874" s="6">
        <v>873</v>
      </c>
      <c r="B874" s="1" t="s">
        <v>2863</v>
      </c>
      <c r="C874" s="1" t="s">
        <v>2864</v>
      </c>
      <c r="D874" s="2">
        <v>107006075</v>
      </c>
      <c r="E874" s="1" t="s">
        <v>12</v>
      </c>
      <c r="F874" s="25">
        <v>160376.28</v>
      </c>
      <c r="G874" s="4">
        <v>43970</v>
      </c>
      <c r="H874" s="4">
        <v>42937</v>
      </c>
      <c r="I874" s="1" t="s">
        <v>54</v>
      </c>
      <c r="J874" s="7" t="s">
        <v>2865</v>
      </c>
      <c r="K874" s="17">
        <v>1867</v>
      </c>
      <c r="L874" t="str">
        <f ca="1">+IF(TODAY()-ICETEX[[#This Row],[fecha_ultimo_movimiento]]&gt;360,"Inactivo","Activo")</f>
        <v>Inactivo</v>
      </c>
      <c r="M874" s="24">
        <f>+VLOOKUP(ICETEX[[#This Row],[fecha_ultimo_movimiento]],UVR!A:B,2,0)</f>
        <v>276.13760000000002</v>
      </c>
      <c r="N874" s="24">
        <v>581</v>
      </c>
      <c r="O874" t="s">
        <v>3264</v>
      </c>
    </row>
    <row r="875" spans="1:15" ht="15" thickBot="1">
      <c r="A875" s="6">
        <v>874</v>
      </c>
      <c r="B875" s="1" t="s">
        <v>2866</v>
      </c>
      <c r="C875" s="1" t="s">
        <v>2867</v>
      </c>
      <c r="D875" s="2">
        <v>71001685</v>
      </c>
      <c r="E875" s="1" t="s">
        <v>12</v>
      </c>
      <c r="F875" s="25">
        <v>48640.45</v>
      </c>
      <c r="G875" s="4">
        <v>43975</v>
      </c>
      <c r="H875" s="4">
        <v>42640</v>
      </c>
      <c r="I875" s="1" t="s">
        <v>50</v>
      </c>
      <c r="J875" s="7" t="s">
        <v>2868</v>
      </c>
      <c r="K875" s="17">
        <v>1862</v>
      </c>
      <c r="L875" t="str">
        <f ca="1">+IF(TODAY()-ICETEX[[#This Row],[fecha_ultimo_movimiento]]&gt;360,"Inactivo","Activo")</f>
        <v>Inactivo</v>
      </c>
      <c r="M875" s="24">
        <f>+VLOOKUP(ICETEX[[#This Row],[fecha_ultimo_movimiento]],UVR!A:B,2,0)</f>
        <v>276.2088</v>
      </c>
      <c r="N875" s="24">
        <v>176</v>
      </c>
      <c r="O875" t="s">
        <v>3265</v>
      </c>
    </row>
    <row r="876" spans="1:15" ht="15" thickBot="1">
      <c r="A876" s="6">
        <v>875</v>
      </c>
      <c r="B876" s="1" t="s">
        <v>2869</v>
      </c>
      <c r="C876" s="1" t="s">
        <v>2870</v>
      </c>
      <c r="D876" s="2">
        <v>111319347</v>
      </c>
      <c r="E876" s="1" t="s">
        <v>12</v>
      </c>
      <c r="F876" s="25">
        <v>44190.67</v>
      </c>
      <c r="G876" s="4">
        <v>43982</v>
      </c>
      <c r="H876" s="4">
        <v>43368</v>
      </c>
      <c r="I876" s="1" t="s">
        <v>2182</v>
      </c>
      <c r="J876" s="7" t="s">
        <v>2871</v>
      </c>
      <c r="K876" s="17">
        <v>1855</v>
      </c>
      <c r="L876" t="str">
        <f ca="1">+IF(TODAY()-ICETEX[[#This Row],[fecha_ultimo_movimiento]]&gt;360,"Inactivo","Activo")</f>
        <v>Inactivo</v>
      </c>
      <c r="M876" s="24">
        <f>+VLOOKUP(ICETEX[[#This Row],[fecha_ultimo_movimiento]],UVR!A:B,2,0)</f>
        <v>276.30849999999998</v>
      </c>
      <c r="N876" s="24">
        <v>160</v>
      </c>
      <c r="O876" t="s">
        <v>3265</v>
      </c>
    </row>
    <row r="877" spans="1:15" ht="15" thickBot="1">
      <c r="A877" s="6">
        <v>876</v>
      </c>
      <c r="B877" s="1" t="s">
        <v>67</v>
      </c>
      <c r="C877" s="1" t="s">
        <v>2872</v>
      </c>
      <c r="D877" s="2">
        <v>31315007</v>
      </c>
      <c r="E877" s="1" t="s">
        <v>12</v>
      </c>
      <c r="F877" s="25">
        <v>16566.59</v>
      </c>
      <c r="G877" s="4">
        <v>44814</v>
      </c>
      <c r="H877" s="4">
        <v>43346</v>
      </c>
      <c r="I877" s="1" t="s">
        <v>213</v>
      </c>
      <c r="J877" s="7" t="s">
        <v>2873</v>
      </c>
      <c r="K877" s="17">
        <v>1023</v>
      </c>
      <c r="L877" t="str">
        <f ca="1">+IF(TODAY()-ICETEX[[#This Row],[fecha_ultimo_movimiento]]&gt;360,"Inactivo","Activo")</f>
        <v>Inactivo</v>
      </c>
      <c r="M877" s="24">
        <f>+VLOOKUP(ICETEX[[#This Row],[fecha_ultimo_movimiento]],UVR!A:B,2,0)</f>
        <v>314.22730000000001</v>
      </c>
      <c r="N877" s="24">
        <v>53</v>
      </c>
      <c r="O877" t="s">
        <v>3265</v>
      </c>
    </row>
    <row r="878" spans="1:15" ht="15" thickBot="1">
      <c r="A878" s="6">
        <v>877</v>
      </c>
      <c r="B878" s="1" t="s">
        <v>2874</v>
      </c>
      <c r="C878" s="1" t="s">
        <v>2875</v>
      </c>
      <c r="D878" s="2">
        <v>103112345</v>
      </c>
      <c r="E878" s="1" t="s">
        <v>12</v>
      </c>
      <c r="F878" s="25">
        <v>14053.15</v>
      </c>
      <c r="G878" s="4">
        <v>45756</v>
      </c>
      <c r="H878" s="4">
        <v>42743</v>
      </c>
      <c r="I878" s="1" t="s">
        <v>2876</v>
      </c>
      <c r="J878" s="7" t="s">
        <v>2877</v>
      </c>
      <c r="K878" s="17">
        <v>81</v>
      </c>
      <c r="L878" t="str">
        <f ca="1">+IF(TODAY()-ICETEX[[#This Row],[fecha_ultimo_movimiento]]&gt;360,"Inactivo","Activo")</f>
        <v>Activo</v>
      </c>
      <c r="M878" s="24">
        <f>+VLOOKUP(ICETEX[[#This Row],[fecha_ultimo_movimiento]],UVR!A:B,2,0)</f>
        <v>386.0795</v>
      </c>
      <c r="N878" s="24">
        <v>36</v>
      </c>
      <c r="O878" t="s">
        <v>3264</v>
      </c>
    </row>
    <row r="879" spans="1:15" ht="15" thickBot="1">
      <c r="A879" s="6">
        <v>878</v>
      </c>
      <c r="B879" s="1" t="s">
        <v>2878</v>
      </c>
      <c r="C879" s="1" t="s">
        <v>2879</v>
      </c>
      <c r="D879" s="2">
        <v>121135773</v>
      </c>
      <c r="E879" s="1" t="s">
        <v>45</v>
      </c>
      <c r="F879" s="25">
        <v>121758.28</v>
      </c>
      <c r="G879" s="4">
        <v>44396</v>
      </c>
      <c r="H879" s="4">
        <v>42480</v>
      </c>
      <c r="I879" s="1" t="s">
        <v>1622</v>
      </c>
      <c r="J879" s="8" t="s">
        <v>2880</v>
      </c>
      <c r="K879" s="17">
        <v>1441</v>
      </c>
      <c r="L879" t="str">
        <f ca="1">+IF(TODAY()-ICETEX[[#This Row],[fecha_ultimo_movimiento]]&gt;360,"Inactivo","Activo")</f>
        <v>Inactivo</v>
      </c>
      <c r="M879" s="24">
        <f>+VLOOKUP(ICETEX[[#This Row],[fecha_ultimo_movimiento]],UVR!A:B,2,0)</f>
        <v>284.68740000000003</v>
      </c>
      <c r="N879" s="24">
        <v>428</v>
      </c>
      <c r="O879" t="s">
        <v>3264</v>
      </c>
    </row>
    <row r="880" spans="1:15" ht="15" thickBot="1">
      <c r="A880" s="6">
        <v>879</v>
      </c>
      <c r="B880" s="1" t="s">
        <v>2881</v>
      </c>
      <c r="C880" s="1" t="s">
        <v>2882</v>
      </c>
      <c r="D880" s="2">
        <v>102307164</v>
      </c>
      <c r="E880" s="1" t="s">
        <v>12</v>
      </c>
      <c r="F880" s="25">
        <v>104422.73</v>
      </c>
      <c r="G880" s="4">
        <v>44550</v>
      </c>
      <c r="H880" s="4">
        <v>42911</v>
      </c>
      <c r="I880" s="1" t="s">
        <v>217</v>
      </c>
      <c r="J880" s="8" t="s">
        <v>2883</v>
      </c>
      <c r="K880" s="17">
        <v>1287</v>
      </c>
      <c r="L880" t="str">
        <f ca="1">+IF(TODAY()-ICETEX[[#This Row],[fecha_ultimo_movimiento]]&gt;360,"Inactivo","Activo")</f>
        <v>Inactivo</v>
      </c>
      <c r="M880" s="24">
        <f>+VLOOKUP(ICETEX[[#This Row],[fecha_ultimo_movimiento]],UVR!A:B,2,0)</f>
        <v>288.10879999999997</v>
      </c>
      <c r="N880" s="24">
        <v>362</v>
      </c>
      <c r="O880" t="s">
        <v>3264</v>
      </c>
    </row>
    <row r="881" spans="1:15" ht="15" thickBot="1">
      <c r="A881" s="6">
        <v>880</v>
      </c>
      <c r="B881" s="1" t="s">
        <v>2884</v>
      </c>
      <c r="C881" s="1" t="s">
        <v>2885</v>
      </c>
      <c r="D881" s="2">
        <v>73902274</v>
      </c>
      <c r="E881" s="1" t="s">
        <v>12</v>
      </c>
      <c r="F881" s="25">
        <v>109599.44</v>
      </c>
      <c r="G881" s="4">
        <v>45215</v>
      </c>
      <c r="H881" s="4">
        <v>42603</v>
      </c>
      <c r="I881" s="1" t="s">
        <v>2886</v>
      </c>
      <c r="J881" s="7" t="s">
        <v>2887</v>
      </c>
      <c r="K881" s="17">
        <v>622</v>
      </c>
      <c r="L881" t="str">
        <f ca="1">+IF(TODAY()-ICETEX[[#This Row],[fecha_ultimo_movimiento]]&gt;360,"Inactivo","Activo")</f>
        <v>Inactivo</v>
      </c>
      <c r="M881" s="24">
        <f>+VLOOKUP(ICETEX[[#This Row],[fecha_ultimo_movimiento]],UVR!A:B,2,0)</f>
        <v>354.226</v>
      </c>
      <c r="N881" s="24">
        <v>309</v>
      </c>
      <c r="O881" t="s">
        <v>3265</v>
      </c>
    </row>
    <row r="882" spans="1:15" ht="15" thickBot="1">
      <c r="A882" s="6">
        <v>881</v>
      </c>
      <c r="B882" s="1" t="s">
        <v>2888</v>
      </c>
      <c r="C882" s="1" t="s">
        <v>2889</v>
      </c>
      <c r="D882" s="2">
        <v>101104779</v>
      </c>
      <c r="E882" s="1" t="s">
        <v>45</v>
      </c>
      <c r="F882" s="25">
        <v>100224.62</v>
      </c>
      <c r="G882" s="4">
        <v>45192</v>
      </c>
      <c r="H882" s="4">
        <v>43220</v>
      </c>
      <c r="I882" s="1" t="s">
        <v>2890</v>
      </c>
      <c r="J882" s="7" t="s">
        <v>2891</v>
      </c>
      <c r="K882" s="17">
        <v>645</v>
      </c>
      <c r="L882" t="str">
        <f ca="1">+IF(TODAY()-ICETEX[[#This Row],[fecha_ultimo_movimiento]]&gt;360,"Inactivo","Activo")</f>
        <v>Inactivo</v>
      </c>
      <c r="M882" s="24">
        <f>+VLOOKUP(ICETEX[[#This Row],[fecha_ultimo_movimiento]],UVR!A:B,2,0)</f>
        <v>352.35739999999998</v>
      </c>
      <c r="N882" s="24">
        <v>284</v>
      </c>
      <c r="O882" t="s">
        <v>3265</v>
      </c>
    </row>
    <row r="883" spans="1:15" ht="15" thickBot="1">
      <c r="A883" s="6">
        <v>882</v>
      </c>
      <c r="B883" s="1" t="s">
        <v>2892</v>
      </c>
      <c r="C883" s="1" t="s">
        <v>2893</v>
      </c>
      <c r="D883" s="2">
        <v>122240418</v>
      </c>
      <c r="E883" s="1" t="s">
        <v>12</v>
      </c>
      <c r="F883" s="25">
        <v>177657.35</v>
      </c>
      <c r="G883" s="4">
        <v>44523</v>
      </c>
      <c r="H883" s="4">
        <v>42997</v>
      </c>
      <c r="I883" s="1" t="s">
        <v>986</v>
      </c>
      <c r="J883" s="7" t="s">
        <v>2894</v>
      </c>
      <c r="K883" s="17">
        <v>1314</v>
      </c>
      <c r="L883" t="str">
        <f ca="1">+IF(TODAY()-ICETEX[[#This Row],[fecha_ultimo_movimiento]]&gt;360,"Inactivo","Activo")</f>
        <v>Inactivo</v>
      </c>
      <c r="M883" s="24">
        <f>+VLOOKUP(ICETEX[[#This Row],[fecha_ultimo_movimiento]],UVR!A:B,2,0)</f>
        <v>287.85599999999999</v>
      </c>
      <c r="N883" s="24">
        <v>617</v>
      </c>
      <c r="O883" t="s">
        <v>3264</v>
      </c>
    </row>
    <row r="884" spans="1:15" ht="15" thickBot="1">
      <c r="A884" s="6">
        <v>883</v>
      </c>
      <c r="B884" s="1" t="s">
        <v>2895</v>
      </c>
      <c r="C884" s="1" t="s">
        <v>2896</v>
      </c>
      <c r="D884" s="2">
        <v>61110557</v>
      </c>
      <c r="E884" s="1" t="s">
        <v>12</v>
      </c>
      <c r="F884" s="25">
        <v>69860.2</v>
      </c>
      <c r="G884" s="4">
        <v>44237</v>
      </c>
      <c r="H884" s="4">
        <v>43392</v>
      </c>
      <c r="I884" s="1" t="s">
        <v>2897</v>
      </c>
      <c r="J884" s="7" t="s">
        <v>2898</v>
      </c>
      <c r="K884" s="17">
        <v>1600</v>
      </c>
      <c r="L884" t="str">
        <f ca="1">+IF(TODAY()-ICETEX[[#This Row],[fecha_ultimo_movimiento]]&gt;360,"Inactivo","Activo")</f>
        <v>Inactivo</v>
      </c>
      <c r="M884" s="24">
        <f>+VLOOKUP(ICETEX[[#This Row],[fecha_ultimo_movimiento]],UVR!A:B,2,0)</f>
        <v>275.73860000000002</v>
      </c>
      <c r="N884" s="24">
        <v>253</v>
      </c>
      <c r="O884" t="s">
        <v>3265</v>
      </c>
    </row>
    <row r="885" spans="1:15" ht="15" thickBot="1">
      <c r="A885" s="6">
        <v>884</v>
      </c>
      <c r="B885" s="1" t="s">
        <v>2899</v>
      </c>
      <c r="C885" s="1" t="s">
        <v>2900</v>
      </c>
      <c r="D885" s="2">
        <v>121181798</v>
      </c>
      <c r="E885" s="1" t="s">
        <v>45</v>
      </c>
      <c r="F885" s="25">
        <v>77812.37</v>
      </c>
      <c r="G885" s="4">
        <v>44745</v>
      </c>
      <c r="H885" s="4">
        <v>42947</v>
      </c>
      <c r="I885" s="1" t="s">
        <v>475</v>
      </c>
      <c r="J885" s="8" t="s">
        <v>2901</v>
      </c>
      <c r="K885" s="17">
        <v>1092</v>
      </c>
      <c r="L885" t="str">
        <f ca="1">+IF(TODAY()-ICETEX[[#This Row],[fecha_ultimo_movimiento]]&gt;360,"Inactivo","Activo")</f>
        <v>Inactivo</v>
      </c>
      <c r="M885" s="24">
        <f>+VLOOKUP(ICETEX[[#This Row],[fecha_ultimo_movimiento]],UVR!A:B,2,0)</f>
        <v>309.48739999999998</v>
      </c>
      <c r="N885" s="24">
        <v>251</v>
      </c>
      <c r="O885" t="s">
        <v>3265</v>
      </c>
    </row>
    <row r="886" spans="1:15" ht="15" thickBot="1">
      <c r="A886" s="6">
        <v>885</v>
      </c>
      <c r="B886" s="1" t="s">
        <v>2902</v>
      </c>
      <c r="C886" s="1" t="s">
        <v>2903</v>
      </c>
      <c r="D886" s="2">
        <v>61120178</v>
      </c>
      <c r="E886" s="1" t="s">
        <v>45</v>
      </c>
      <c r="F886" s="25">
        <v>162465.06</v>
      </c>
      <c r="G886" s="4">
        <v>44360</v>
      </c>
      <c r="H886" s="4">
        <v>43090</v>
      </c>
      <c r="I886" s="1" t="s">
        <v>2904</v>
      </c>
      <c r="J886" s="7" t="s">
        <v>2905</v>
      </c>
      <c r="K886" s="17">
        <v>1477</v>
      </c>
      <c r="L886" t="str">
        <f ca="1">+IF(TODAY()-ICETEX[[#This Row],[fecha_ultimo_movimiento]]&gt;360,"Inactivo","Activo")</f>
        <v>Inactivo</v>
      </c>
      <c r="M886" s="24">
        <f>+VLOOKUP(ICETEX[[#This Row],[fecha_ultimo_movimiento]],UVR!A:B,2,0)</f>
        <v>281.7799</v>
      </c>
      <c r="N886" s="24">
        <v>577</v>
      </c>
      <c r="O886" t="s">
        <v>3264</v>
      </c>
    </row>
    <row r="887" spans="1:15" ht="15" thickBot="1">
      <c r="A887" s="6">
        <v>886</v>
      </c>
      <c r="B887" s="1" t="s">
        <v>2906</v>
      </c>
      <c r="C887" s="1" t="s">
        <v>2907</v>
      </c>
      <c r="D887" s="2">
        <v>75012531</v>
      </c>
      <c r="E887" s="1" t="s">
        <v>12</v>
      </c>
      <c r="F887" s="25">
        <v>15446.16</v>
      </c>
      <c r="G887" s="4">
        <v>45725</v>
      </c>
      <c r="H887" s="4">
        <v>42688</v>
      </c>
      <c r="I887" s="1" t="s">
        <v>127</v>
      </c>
      <c r="J887" s="7" t="s">
        <v>2908</v>
      </c>
      <c r="K887" s="17">
        <v>112</v>
      </c>
      <c r="L887" t="str">
        <f ca="1">+IF(TODAY()-ICETEX[[#This Row],[fecha_ultimo_movimiento]]&gt;360,"Inactivo","Activo")</f>
        <v>Activo</v>
      </c>
      <c r="M887" s="24">
        <f>+VLOOKUP(ICETEX[[#This Row],[fecha_ultimo_movimiento]],UVR!A:B,2,0)</f>
        <v>381.8</v>
      </c>
      <c r="N887" s="24">
        <v>40</v>
      </c>
      <c r="O887" t="s">
        <v>3264</v>
      </c>
    </row>
    <row r="888" spans="1:15" ht="15" thickBot="1">
      <c r="A888" s="6">
        <v>887</v>
      </c>
      <c r="B888" s="1" t="s">
        <v>2909</v>
      </c>
      <c r="C888" s="1" t="s">
        <v>2910</v>
      </c>
      <c r="D888" s="2">
        <v>31301053</v>
      </c>
      <c r="E888" s="1" t="s">
        <v>45</v>
      </c>
      <c r="F888" s="25">
        <v>86965.77</v>
      </c>
      <c r="G888" s="4">
        <v>43835</v>
      </c>
      <c r="H888" s="4">
        <v>42599</v>
      </c>
      <c r="I888" s="1" t="s">
        <v>88</v>
      </c>
      <c r="J888" s="7" t="s">
        <v>2911</v>
      </c>
      <c r="K888" s="17">
        <v>2002</v>
      </c>
      <c r="L888" t="str">
        <f ca="1">+IF(TODAY()-ICETEX[[#This Row],[fecha_ultimo_movimiento]]&gt;360,"Inactivo","Activo")</f>
        <v>Inactivo</v>
      </c>
      <c r="M888" s="24">
        <f>+VLOOKUP(ICETEX[[#This Row],[fecha_ultimo_movimiento]],UVR!A:B,2,0)</f>
        <v>270.75689999999997</v>
      </c>
      <c r="N888" s="24">
        <v>321</v>
      </c>
      <c r="O888" t="s">
        <v>3265</v>
      </c>
    </row>
    <row r="889" spans="1:15" ht="26.5" thickBot="1">
      <c r="A889" s="6">
        <v>888</v>
      </c>
      <c r="B889" s="1" t="s">
        <v>2912</v>
      </c>
      <c r="C889" s="1" t="s">
        <v>2913</v>
      </c>
      <c r="D889" s="2">
        <v>321170444</v>
      </c>
      <c r="E889" s="1" t="s">
        <v>12</v>
      </c>
      <c r="F889" s="25">
        <v>70874.320000000007</v>
      </c>
      <c r="G889" s="4">
        <v>45515</v>
      </c>
      <c r="H889" s="4">
        <v>43061</v>
      </c>
      <c r="I889" s="1" t="s">
        <v>357</v>
      </c>
      <c r="J889" s="7" t="s">
        <v>2914</v>
      </c>
      <c r="K889" s="17">
        <v>322</v>
      </c>
      <c r="L889" t="str">
        <f ca="1">+IF(TODAY()-ICETEX[[#This Row],[fecha_ultimo_movimiento]]&gt;360,"Inactivo","Activo")</f>
        <v>Activo</v>
      </c>
      <c r="M889" s="24">
        <f>+VLOOKUP(ICETEX[[#This Row],[fecha_ultimo_movimiento]],UVR!A:B,2,0)</f>
        <v>374.93529999999998</v>
      </c>
      <c r="N889" s="24">
        <v>189</v>
      </c>
      <c r="O889" t="s">
        <v>3264</v>
      </c>
    </row>
    <row r="890" spans="1:15" ht="15" thickBot="1">
      <c r="A890" s="6">
        <v>889</v>
      </c>
      <c r="B890" s="1" t="s">
        <v>2915</v>
      </c>
      <c r="C890" s="1" t="s">
        <v>2916</v>
      </c>
      <c r="D890" s="2">
        <v>71123518</v>
      </c>
      <c r="E890" s="1" t="s">
        <v>12</v>
      </c>
      <c r="F890" s="25">
        <v>31433.83</v>
      </c>
      <c r="G890" s="4">
        <v>44785</v>
      </c>
      <c r="H890" s="4">
        <v>42378</v>
      </c>
      <c r="I890" s="1" t="s">
        <v>2917</v>
      </c>
      <c r="J890" s="7" t="s">
        <v>2918</v>
      </c>
      <c r="K890" s="17">
        <v>1052</v>
      </c>
      <c r="L890" t="str">
        <f ca="1">+IF(TODAY()-ICETEX[[#This Row],[fecha_ultimo_movimiento]]&gt;360,"Inactivo","Activo")</f>
        <v>Inactivo</v>
      </c>
      <c r="M890" s="24">
        <f>+VLOOKUP(ICETEX[[#This Row],[fecha_ultimo_movimiento]],UVR!A:B,2,0)</f>
        <v>311.95479999999998</v>
      </c>
      <c r="N890" s="24">
        <v>101</v>
      </c>
      <c r="O890" t="s">
        <v>3265</v>
      </c>
    </row>
    <row r="891" spans="1:15" ht="15" thickBot="1">
      <c r="A891" s="6">
        <v>890</v>
      </c>
      <c r="B891" s="1" t="s">
        <v>2919</v>
      </c>
      <c r="C891" s="1" t="s">
        <v>2920</v>
      </c>
      <c r="D891" s="2">
        <v>86518749</v>
      </c>
      <c r="E891" s="1" t="s">
        <v>45</v>
      </c>
      <c r="F891" s="25">
        <v>72434.09</v>
      </c>
      <c r="G891" s="4">
        <v>44423</v>
      </c>
      <c r="H891" s="4">
        <v>42500</v>
      </c>
      <c r="I891" s="1" t="s">
        <v>135</v>
      </c>
      <c r="J891" s="7" t="s">
        <v>2921</v>
      </c>
      <c r="K891" s="17">
        <v>1414</v>
      </c>
      <c r="L891" t="str">
        <f ca="1">+IF(TODAY()-ICETEX[[#This Row],[fecha_ultimo_movimiento]]&gt;360,"Inactivo","Activo")</f>
        <v>Inactivo</v>
      </c>
      <c r="M891" s="24">
        <f>+VLOOKUP(ICETEX[[#This Row],[fecha_ultimo_movimiento]],UVR!A:B,2,0)</f>
        <v>284.5634</v>
      </c>
      <c r="N891" s="24">
        <v>255</v>
      </c>
      <c r="O891" t="s">
        <v>3265</v>
      </c>
    </row>
    <row r="892" spans="1:15" ht="15" thickBot="1">
      <c r="A892" s="6">
        <v>891</v>
      </c>
      <c r="B892" s="1" t="s">
        <v>2922</v>
      </c>
      <c r="C892" s="1" t="s">
        <v>2923</v>
      </c>
      <c r="D892" s="2">
        <v>82903837</v>
      </c>
      <c r="E892" s="1" t="s">
        <v>12</v>
      </c>
      <c r="F892" s="25">
        <v>212241.15</v>
      </c>
      <c r="G892" s="4">
        <v>44071</v>
      </c>
      <c r="H892" s="4">
        <v>43088</v>
      </c>
      <c r="I892" s="1" t="s">
        <v>390</v>
      </c>
      <c r="J892" s="7" t="s">
        <v>2924</v>
      </c>
      <c r="K892" s="17">
        <v>1766</v>
      </c>
      <c r="L892" t="str">
        <f ca="1">+IF(TODAY()-ICETEX[[#This Row],[fecha_ultimo_movimiento]]&gt;360,"Inactivo","Activo")</f>
        <v>Inactivo</v>
      </c>
      <c r="M892" s="24">
        <f>+VLOOKUP(ICETEX[[#This Row],[fecha_ultimo_movimiento]],UVR!A:B,2,0)</f>
        <v>274.58999999999997</v>
      </c>
      <c r="N892" s="24">
        <v>773</v>
      </c>
      <c r="O892" t="s">
        <v>3264</v>
      </c>
    </row>
    <row r="893" spans="1:15" ht="15" thickBot="1">
      <c r="A893" s="6">
        <v>892</v>
      </c>
      <c r="B893" s="1" t="s">
        <v>2925</v>
      </c>
      <c r="C893" s="1" t="s">
        <v>2926</v>
      </c>
      <c r="D893" s="2">
        <v>72400670</v>
      </c>
      <c r="E893" s="1" t="s">
        <v>45</v>
      </c>
      <c r="F893" s="25">
        <v>70396.02</v>
      </c>
      <c r="G893" s="4">
        <v>45608</v>
      </c>
      <c r="H893" s="4">
        <v>42577</v>
      </c>
      <c r="I893" s="1" t="s">
        <v>538</v>
      </c>
      <c r="J893" s="7" t="s">
        <v>2927</v>
      </c>
      <c r="K893" s="17">
        <v>229</v>
      </c>
      <c r="L893" t="str">
        <f ca="1">+IF(TODAY()-ICETEX[[#This Row],[fecha_ultimo_movimiento]]&gt;360,"Inactivo","Activo")</f>
        <v>Activo</v>
      </c>
      <c r="M893" s="24">
        <f>+VLOOKUP(ICETEX[[#This Row],[fecha_ultimo_movimiento]],UVR!A:B,2,0)</f>
        <v>376.65469999999999</v>
      </c>
      <c r="N893" s="24">
        <v>187</v>
      </c>
      <c r="O893" t="s">
        <v>3264</v>
      </c>
    </row>
    <row r="894" spans="1:15" ht="15" thickBot="1">
      <c r="A894" s="6">
        <v>893</v>
      </c>
      <c r="B894" s="1" t="s">
        <v>2928</v>
      </c>
      <c r="C894" s="1" t="s">
        <v>2929</v>
      </c>
      <c r="D894" s="2">
        <v>31101211</v>
      </c>
      <c r="E894" s="1" t="s">
        <v>45</v>
      </c>
      <c r="F894" s="25">
        <v>201101.09</v>
      </c>
      <c r="G894" s="4">
        <v>45104</v>
      </c>
      <c r="H894" s="4">
        <v>42371</v>
      </c>
      <c r="I894" s="1" t="s">
        <v>2930</v>
      </c>
      <c r="J894" s="7" t="s">
        <v>2931</v>
      </c>
      <c r="K894" s="17">
        <v>733</v>
      </c>
      <c r="L894" t="str">
        <f ca="1">+IF(TODAY()-ICETEX[[#This Row],[fecha_ultimo_movimiento]]&gt;360,"Inactivo","Activo")</f>
        <v>Inactivo</v>
      </c>
      <c r="M894" s="24">
        <f>+VLOOKUP(ICETEX[[#This Row],[fecha_ultimo_movimiento]],UVR!A:B,2,0)</f>
        <v>348.00900000000001</v>
      </c>
      <c r="N894" s="24">
        <v>578</v>
      </c>
      <c r="O894" t="s">
        <v>3264</v>
      </c>
    </row>
    <row r="895" spans="1:15" ht="15" thickBot="1">
      <c r="A895" s="6">
        <v>894</v>
      </c>
      <c r="B895" s="1" t="s">
        <v>2932</v>
      </c>
      <c r="C895" s="1" t="s">
        <v>2933</v>
      </c>
      <c r="D895" s="2">
        <v>61211647</v>
      </c>
      <c r="E895" s="1" t="s">
        <v>45</v>
      </c>
      <c r="F895" s="25">
        <v>34163.65</v>
      </c>
      <c r="G895" s="4">
        <v>45280</v>
      </c>
      <c r="H895" s="4">
        <v>42580</v>
      </c>
      <c r="I895" s="1" t="s">
        <v>2934</v>
      </c>
      <c r="J895" s="7" t="s">
        <v>2935</v>
      </c>
      <c r="K895" s="17">
        <v>557</v>
      </c>
      <c r="L895" t="str">
        <f ca="1">+IF(TODAY()-ICETEX[[#This Row],[fecha_ultimo_movimiento]]&gt;360,"Inactivo","Activo")</f>
        <v>Inactivo</v>
      </c>
      <c r="M895" s="24">
        <f>+VLOOKUP(ICETEX[[#This Row],[fecha_ultimo_movimiento]],UVR!A:B,2,0)</f>
        <v>357.2373</v>
      </c>
      <c r="N895" s="24">
        <v>96</v>
      </c>
      <c r="O895" t="s">
        <v>3265</v>
      </c>
    </row>
    <row r="896" spans="1:15" ht="15" thickBot="1">
      <c r="A896" s="6">
        <v>895</v>
      </c>
      <c r="B896" s="1" t="s">
        <v>2936</v>
      </c>
      <c r="C896" s="1" t="s">
        <v>2937</v>
      </c>
      <c r="D896" s="2">
        <v>61112788</v>
      </c>
      <c r="E896" s="1" t="s">
        <v>12</v>
      </c>
      <c r="F896" s="25">
        <v>83798.66</v>
      </c>
      <c r="G896" s="4">
        <v>45792</v>
      </c>
      <c r="H896" s="4">
        <v>43109</v>
      </c>
      <c r="I896" s="1" t="s">
        <v>13</v>
      </c>
      <c r="J896" s="7" t="s">
        <v>2938</v>
      </c>
      <c r="K896" s="17">
        <v>45</v>
      </c>
      <c r="L896" t="str">
        <f ca="1">+IF(TODAY()-ICETEX[[#This Row],[fecha_ultimo_movimiento]]&gt;360,"Inactivo","Activo")</f>
        <v>Activo</v>
      </c>
      <c r="M896" s="24">
        <f>+VLOOKUP(ICETEX[[#This Row],[fecha_ultimo_movimiento]],UVR!A:B,2,0)</f>
        <v>388.93950000000001</v>
      </c>
      <c r="N896" s="24">
        <v>215</v>
      </c>
      <c r="O896" t="s">
        <v>3264</v>
      </c>
    </row>
    <row r="897" spans="1:15" ht="15" thickBot="1">
      <c r="A897" s="6">
        <v>896</v>
      </c>
      <c r="B897" s="1" t="s">
        <v>2939</v>
      </c>
      <c r="C897" s="1" t="s">
        <v>2940</v>
      </c>
      <c r="D897" s="2">
        <v>103000619</v>
      </c>
      <c r="E897" s="1" t="s">
        <v>12</v>
      </c>
      <c r="F897" s="25">
        <v>162531.13</v>
      </c>
      <c r="G897" s="4">
        <v>44506</v>
      </c>
      <c r="H897" s="4">
        <v>43006</v>
      </c>
      <c r="I897" s="1" t="s">
        <v>471</v>
      </c>
      <c r="J897" s="7" t="s">
        <v>2941</v>
      </c>
      <c r="K897" s="17">
        <v>1331</v>
      </c>
      <c r="L897" t="str">
        <f ca="1">+IF(TODAY()-ICETEX[[#This Row],[fecha_ultimo_movimiento]]&gt;360,"Inactivo","Activo")</f>
        <v>Inactivo</v>
      </c>
      <c r="M897" s="24">
        <f>+VLOOKUP(ICETEX[[#This Row],[fecha_ultimo_movimiento]],UVR!A:B,2,0)</f>
        <v>287.53149999999999</v>
      </c>
      <c r="N897" s="24">
        <v>565</v>
      </c>
      <c r="O897" t="s">
        <v>3264</v>
      </c>
    </row>
    <row r="898" spans="1:15" ht="15" thickBot="1">
      <c r="A898" s="6">
        <v>897</v>
      </c>
      <c r="B898" s="1" t="s">
        <v>2942</v>
      </c>
      <c r="C898" s="1" t="s">
        <v>2943</v>
      </c>
      <c r="D898" s="2">
        <v>261170494</v>
      </c>
      <c r="E898" s="1" t="s">
        <v>45</v>
      </c>
      <c r="F898" s="25">
        <v>133558.31</v>
      </c>
      <c r="G898" s="4">
        <v>45361</v>
      </c>
      <c r="H898" s="4">
        <v>43437</v>
      </c>
      <c r="I898" s="1" t="s">
        <v>197</v>
      </c>
      <c r="J898" s="7" t="s">
        <v>2944</v>
      </c>
      <c r="K898" s="17">
        <v>476</v>
      </c>
      <c r="L898" t="str">
        <f ca="1">+IF(TODAY()-ICETEX[[#This Row],[fecha_ultimo_movimiento]]&gt;360,"Inactivo","Activo")</f>
        <v>Inactivo</v>
      </c>
      <c r="M898" s="24">
        <f>+VLOOKUP(ICETEX[[#This Row],[fecha_ultimo_movimiento]],UVR!A:B,2,0)</f>
        <v>362.99959999999999</v>
      </c>
      <c r="N898" s="24">
        <v>368</v>
      </c>
      <c r="O898" t="s">
        <v>3264</v>
      </c>
    </row>
    <row r="899" spans="1:15" ht="15" thickBot="1">
      <c r="A899" s="6">
        <v>898</v>
      </c>
      <c r="B899" s="1" t="s">
        <v>560</v>
      </c>
      <c r="C899" s="1" t="s">
        <v>2945</v>
      </c>
      <c r="D899" s="2">
        <v>72413298</v>
      </c>
      <c r="E899" s="1" t="s">
        <v>45</v>
      </c>
      <c r="F899" s="25">
        <v>180608.75</v>
      </c>
      <c r="G899" s="4">
        <v>45601</v>
      </c>
      <c r="H899" s="4">
        <v>42877</v>
      </c>
      <c r="I899" s="1" t="s">
        <v>131</v>
      </c>
      <c r="J899" s="8" t="s">
        <v>2946</v>
      </c>
      <c r="K899" s="17">
        <v>236</v>
      </c>
      <c r="L899" t="str">
        <f ca="1">+IF(TODAY()-ICETEX[[#This Row],[fecha_ultimo_movimiento]]&gt;360,"Inactivo","Activo")</f>
        <v>Activo</v>
      </c>
      <c r="M899" s="24">
        <f>+VLOOKUP(ICETEX[[#This Row],[fecha_ultimo_movimiento]],UVR!A:B,2,0)</f>
        <v>376.45089999999999</v>
      </c>
      <c r="N899" s="24">
        <v>480</v>
      </c>
      <c r="O899" t="s">
        <v>3264</v>
      </c>
    </row>
    <row r="900" spans="1:15" ht="15" thickBot="1">
      <c r="A900" s="6">
        <v>899</v>
      </c>
      <c r="B900" s="1" t="s">
        <v>2947</v>
      </c>
      <c r="C900" s="1" t="s">
        <v>2948</v>
      </c>
      <c r="D900" s="2">
        <v>74912603</v>
      </c>
      <c r="E900" s="1" t="s">
        <v>12</v>
      </c>
      <c r="F900" s="25">
        <v>145346.44</v>
      </c>
      <c r="G900" s="4">
        <v>45561</v>
      </c>
      <c r="H900" s="4">
        <v>42834</v>
      </c>
      <c r="I900" s="1" t="s">
        <v>1686</v>
      </c>
      <c r="J900" s="7" t="s">
        <v>2949</v>
      </c>
      <c r="K900" s="17">
        <v>276</v>
      </c>
      <c r="L900" t="str">
        <f ca="1">+IF(TODAY()-ICETEX[[#This Row],[fecha_ultimo_movimiento]]&gt;360,"Inactivo","Activo")</f>
        <v>Activo</v>
      </c>
      <c r="M900" s="24">
        <f>+VLOOKUP(ICETEX[[#This Row],[fecha_ultimo_movimiento]],UVR!A:B,2,0)</f>
        <v>375.84010000000001</v>
      </c>
      <c r="N900" s="24">
        <v>387</v>
      </c>
      <c r="O900" t="s">
        <v>3264</v>
      </c>
    </row>
    <row r="901" spans="1:15" ht="15" thickBot="1">
      <c r="A901" s="6">
        <v>900</v>
      </c>
      <c r="B901" s="1" t="s">
        <v>2950</v>
      </c>
      <c r="C901" s="1" t="s">
        <v>2951</v>
      </c>
      <c r="D901" s="2">
        <v>21207235</v>
      </c>
      <c r="E901" s="1" t="s">
        <v>12</v>
      </c>
      <c r="F901" s="25">
        <v>57403.64</v>
      </c>
      <c r="G901" s="4">
        <v>44392</v>
      </c>
      <c r="H901" s="4">
        <v>43072</v>
      </c>
      <c r="I901" s="1" t="s">
        <v>447</v>
      </c>
      <c r="J901" s="7" t="s">
        <v>2952</v>
      </c>
      <c r="K901" s="17">
        <v>1445</v>
      </c>
      <c r="L901" t="str">
        <f ca="1">+IF(TODAY()-ICETEX[[#This Row],[fecha_ultimo_movimiento]]&gt;360,"Inactivo","Activo")</f>
        <v>Inactivo</v>
      </c>
      <c r="M901" s="24">
        <f>+VLOOKUP(ICETEX[[#This Row],[fecha_ultimo_movimiento]],UVR!A:B,2,0)</f>
        <v>284.70580000000001</v>
      </c>
      <c r="N901" s="24">
        <v>202</v>
      </c>
      <c r="O901" t="s">
        <v>3265</v>
      </c>
    </row>
    <row r="902" spans="1:15" ht="15" thickBot="1">
      <c r="A902" s="6">
        <v>901</v>
      </c>
      <c r="B902" s="1" t="s">
        <v>2953</v>
      </c>
      <c r="C902" s="1" t="s">
        <v>2954</v>
      </c>
      <c r="D902" s="2">
        <v>21300640</v>
      </c>
      <c r="E902" s="1" t="s">
        <v>45</v>
      </c>
      <c r="F902" s="25">
        <v>16050.76</v>
      </c>
      <c r="G902" s="4">
        <v>45828</v>
      </c>
      <c r="H902" s="4">
        <v>42918</v>
      </c>
      <c r="I902" s="1" t="s">
        <v>1035</v>
      </c>
      <c r="J902" s="7" t="s">
        <v>2955</v>
      </c>
      <c r="K902" s="17">
        <v>9</v>
      </c>
      <c r="L902" t="str">
        <f ca="1">+IF(TODAY()-ICETEX[[#This Row],[fecha_ultimo_movimiento]]&gt;360,"Inactivo","Activo")</f>
        <v>Activo</v>
      </c>
      <c r="M902" s="24">
        <f>+VLOOKUP(ICETEX[[#This Row],[fecha_ultimo_movimiento]],UVR!A:B,2,0)</f>
        <v>391.71499999999997</v>
      </c>
      <c r="N902" s="24">
        <v>41</v>
      </c>
      <c r="O902" t="s">
        <v>3264</v>
      </c>
    </row>
    <row r="903" spans="1:15" ht="15" thickBot="1">
      <c r="A903" s="6">
        <v>902</v>
      </c>
      <c r="B903" s="1" t="s">
        <v>2956</v>
      </c>
      <c r="C903" s="1" t="s">
        <v>2957</v>
      </c>
      <c r="D903" s="2">
        <v>271972381</v>
      </c>
      <c r="E903" s="1" t="s">
        <v>45</v>
      </c>
      <c r="F903" s="25">
        <v>19082.52</v>
      </c>
      <c r="G903" s="4">
        <v>45052</v>
      </c>
      <c r="H903" s="4">
        <v>42720</v>
      </c>
      <c r="I903" s="1" t="s">
        <v>127</v>
      </c>
      <c r="J903" s="7" t="s">
        <v>2958</v>
      </c>
      <c r="K903" s="17">
        <v>785</v>
      </c>
      <c r="L903" t="str">
        <f ca="1">+IF(TODAY()-ICETEX[[#This Row],[fecha_ultimo_movimiento]]&gt;360,"Inactivo","Activo")</f>
        <v>Inactivo</v>
      </c>
      <c r="M903" s="24">
        <f>+VLOOKUP(ICETEX[[#This Row],[fecha_ultimo_movimiento]],UVR!A:B,2,0)</f>
        <v>343.64490000000001</v>
      </c>
      <c r="N903" s="24">
        <v>56</v>
      </c>
      <c r="O903" t="s">
        <v>3265</v>
      </c>
    </row>
    <row r="904" spans="1:15" ht="15" thickBot="1">
      <c r="A904" s="6">
        <v>903</v>
      </c>
      <c r="B904" s="1" t="s">
        <v>2959</v>
      </c>
      <c r="C904" s="1" t="s">
        <v>2960</v>
      </c>
      <c r="D904" s="2">
        <v>65306118</v>
      </c>
      <c r="E904" s="1" t="s">
        <v>45</v>
      </c>
      <c r="F904" s="25">
        <v>125630.71</v>
      </c>
      <c r="G904" s="4">
        <v>44844</v>
      </c>
      <c r="H904" s="4">
        <v>43304</v>
      </c>
      <c r="I904" s="1" t="s">
        <v>274</v>
      </c>
      <c r="J904" s="7" t="s">
        <v>2961</v>
      </c>
      <c r="K904" s="17">
        <v>993</v>
      </c>
      <c r="L904" t="str">
        <f ca="1">+IF(TODAY()-ICETEX[[#This Row],[fecha_ultimo_movimiento]]&gt;360,"Inactivo","Activo")</f>
        <v>Inactivo</v>
      </c>
      <c r="M904" s="24">
        <f>+VLOOKUP(ICETEX[[#This Row],[fecha_ultimo_movimiento]],UVR!A:B,2,0)</f>
        <v>317.30860000000001</v>
      </c>
      <c r="N904" s="24">
        <v>396</v>
      </c>
      <c r="O904" t="s">
        <v>3264</v>
      </c>
    </row>
    <row r="905" spans="1:15" ht="15" thickBot="1">
      <c r="A905" s="6">
        <v>904</v>
      </c>
      <c r="B905" s="1" t="s">
        <v>2962</v>
      </c>
      <c r="C905" s="1" t="s">
        <v>2963</v>
      </c>
      <c r="D905" s="2">
        <v>111917435</v>
      </c>
      <c r="E905" s="1" t="s">
        <v>45</v>
      </c>
      <c r="F905" s="25">
        <v>57272.54</v>
      </c>
      <c r="G905" s="4">
        <v>45071</v>
      </c>
      <c r="H905" s="4">
        <v>42451</v>
      </c>
      <c r="I905" s="1" t="s">
        <v>534</v>
      </c>
      <c r="J905" s="7" t="s">
        <v>2964</v>
      </c>
      <c r="K905" s="17">
        <v>766</v>
      </c>
      <c r="L905" t="str">
        <f ca="1">+IF(TODAY()-ICETEX[[#This Row],[fecha_ultimo_movimiento]]&gt;360,"Inactivo","Activo")</f>
        <v>Inactivo</v>
      </c>
      <c r="M905" s="24">
        <f>+VLOOKUP(ICETEX[[#This Row],[fecha_ultimo_movimiento]],UVR!A:B,2,0)</f>
        <v>345.58850000000001</v>
      </c>
      <c r="N905" s="24">
        <v>166</v>
      </c>
      <c r="O905" t="s">
        <v>3265</v>
      </c>
    </row>
    <row r="906" spans="1:15" ht="15" thickBot="1">
      <c r="A906" s="6">
        <v>905</v>
      </c>
      <c r="B906" s="1" t="s">
        <v>2965</v>
      </c>
      <c r="C906" s="1" t="s">
        <v>2966</v>
      </c>
      <c r="D906" s="2">
        <v>31311674</v>
      </c>
      <c r="E906" s="1" t="s">
        <v>12</v>
      </c>
      <c r="F906" s="25">
        <v>98160.19</v>
      </c>
      <c r="G906" s="4">
        <v>44505</v>
      </c>
      <c r="H906" s="4">
        <v>42849</v>
      </c>
      <c r="I906" s="1" t="s">
        <v>745</v>
      </c>
      <c r="J906" s="7" t="s">
        <v>2967</v>
      </c>
      <c r="K906" s="17">
        <v>1332</v>
      </c>
      <c r="L906" t="str">
        <f ca="1">+IF(TODAY()-ICETEX[[#This Row],[fecha_ultimo_movimiento]]&gt;360,"Inactivo","Activo")</f>
        <v>Inactivo</v>
      </c>
      <c r="M906" s="24">
        <f>+VLOOKUP(ICETEX[[#This Row],[fecha_ultimo_movimiento]],UVR!A:B,2,0)</f>
        <v>287.49630000000002</v>
      </c>
      <c r="N906" s="24">
        <v>341</v>
      </c>
      <c r="O906" t="s">
        <v>3264</v>
      </c>
    </row>
    <row r="907" spans="1:15" ht="15" thickBot="1">
      <c r="A907" s="6">
        <v>906</v>
      </c>
      <c r="B907" s="1" t="s">
        <v>2968</v>
      </c>
      <c r="C907" s="1" t="s">
        <v>2969</v>
      </c>
      <c r="D907" s="2">
        <v>41215773</v>
      </c>
      <c r="E907" s="1" t="s">
        <v>45</v>
      </c>
      <c r="F907" s="25">
        <v>178214.29</v>
      </c>
      <c r="G907" s="4">
        <v>44443</v>
      </c>
      <c r="H907" s="4">
        <v>42536</v>
      </c>
      <c r="I907" s="1" t="s">
        <v>1555</v>
      </c>
      <c r="J907" s="7" t="s">
        <v>2970</v>
      </c>
      <c r="K907" s="17">
        <v>1394</v>
      </c>
      <c r="L907" t="str">
        <f ca="1">+IF(TODAY()-ICETEX[[#This Row],[fecha_ultimo_movimiento]]&gt;360,"Inactivo","Activo")</f>
        <v>Inactivo</v>
      </c>
      <c r="M907" s="24">
        <f>+VLOOKUP(ICETEX[[#This Row],[fecha_ultimo_movimiento]],UVR!A:B,2,0)</f>
        <v>285.1506</v>
      </c>
      <c r="N907" s="24">
        <v>625</v>
      </c>
      <c r="O907" t="s">
        <v>3264</v>
      </c>
    </row>
    <row r="908" spans="1:15" ht="15" thickBot="1">
      <c r="A908" s="6">
        <v>907</v>
      </c>
      <c r="B908" s="1" t="s">
        <v>2971</v>
      </c>
      <c r="C908" s="1" t="s">
        <v>2972</v>
      </c>
      <c r="D908" s="2">
        <v>31100089</v>
      </c>
      <c r="E908" s="1" t="s">
        <v>45</v>
      </c>
      <c r="F908" s="25">
        <v>126192.39</v>
      </c>
      <c r="G908" s="4">
        <v>45203</v>
      </c>
      <c r="H908" s="4">
        <v>42393</v>
      </c>
      <c r="I908" s="1" t="s">
        <v>147</v>
      </c>
      <c r="J908" s="7" t="s">
        <v>2973</v>
      </c>
      <c r="K908" s="17">
        <v>634</v>
      </c>
      <c r="L908" t="str">
        <f ca="1">+IF(TODAY()-ICETEX[[#This Row],[fecha_ultimo_movimiento]]&gt;360,"Inactivo","Activo")</f>
        <v>Inactivo</v>
      </c>
      <c r="M908" s="24">
        <f>+VLOOKUP(ICETEX[[#This Row],[fecha_ultimo_movimiento]],UVR!A:B,2,0)</f>
        <v>353.25979999999998</v>
      </c>
      <c r="N908" s="24">
        <v>357</v>
      </c>
      <c r="O908" t="s">
        <v>3264</v>
      </c>
    </row>
    <row r="909" spans="1:15" ht="15" thickBot="1">
      <c r="A909" s="6">
        <v>908</v>
      </c>
      <c r="B909" s="1" t="s">
        <v>2974</v>
      </c>
      <c r="C909" s="1" t="s">
        <v>2975</v>
      </c>
      <c r="D909" s="2">
        <v>43310281</v>
      </c>
      <c r="E909" s="1" t="s">
        <v>45</v>
      </c>
      <c r="F909" s="25">
        <v>164380.66</v>
      </c>
      <c r="G909" s="4">
        <v>45523</v>
      </c>
      <c r="H909" s="4">
        <v>42526</v>
      </c>
      <c r="I909" s="1" t="s">
        <v>88</v>
      </c>
      <c r="J909" s="7" t="s">
        <v>2976</v>
      </c>
      <c r="K909" s="17">
        <v>314</v>
      </c>
      <c r="L909" t="str">
        <f ca="1">+IF(TODAY()-ICETEX[[#This Row],[fecha_ultimo_movimiento]]&gt;360,"Inactivo","Activo")</f>
        <v>Activo</v>
      </c>
      <c r="M909" s="24">
        <f>+VLOOKUP(ICETEX[[#This Row],[fecha_ultimo_movimiento]],UVR!A:B,2,0)</f>
        <v>375.1866</v>
      </c>
      <c r="N909" s="24">
        <v>438</v>
      </c>
      <c r="O909" t="s">
        <v>3264</v>
      </c>
    </row>
    <row r="910" spans="1:15" ht="15" thickBot="1">
      <c r="A910" s="6">
        <v>909</v>
      </c>
      <c r="B910" s="1" t="s">
        <v>2977</v>
      </c>
      <c r="C910" s="1" t="s">
        <v>2978</v>
      </c>
      <c r="D910" s="2">
        <v>71122661</v>
      </c>
      <c r="E910" s="1" t="s">
        <v>12</v>
      </c>
      <c r="F910" s="25">
        <v>106316.35</v>
      </c>
      <c r="G910" s="4">
        <v>44499</v>
      </c>
      <c r="H910" s="4">
        <v>43181</v>
      </c>
      <c r="I910" s="1" t="s">
        <v>25</v>
      </c>
      <c r="J910" s="7" t="s">
        <v>2979</v>
      </c>
      <c r="K910" s="17">
        <v>1338</v>
      </c>
      <c r="L910" t="str">
        <f ca="1">+IF(TODAY()-ICETEX[[#This Row],[fecha_ultimo_movimiento]]&gt;360,"Inactivo","Activo")</f>
        <v>Inactivo</v>
      </c>
      <c r="M910" s="24">
        <f>+VLOOKUP(ICETEX[[#This Row],[fecha_ultimo_movimiento]],UVR!A:B,2,0)</f>
        <v>287.28530000000001</v>
      </c>
      <c r="N910" s="24">
        <v>370</v>
      </c>
      <c r="O910" t="s">
        <v>3264</v>
      </c>
    </row>
    <row r="911" spans="1:15" ht="15" thickBot="1">
      <c r="A911" s="6">
        <v>910</v>
      </c>
      <c r="B911" s="1" t="s">
        <v>2980</v>
      </c>
      <c r="C911" s="1" t="s">
        <v>2981</v>
      </c>
      <c r="D911" s="2">
        <v>11301536</v>
      </c>
      <c r="E911" s="1" t="s">
        <v>12</v>
      </c>
      <c r="F911" s="25">
        <v>101661.78</v>
      </c>
      <c r="G911" s="4">
        <v>45761</v>
      </c>
      <c r="H911" s="4">
        <v>43203</v>
      </c>
      <c r="I911" s="1" t="s">
        <v>702</v>
      </c>
      <c r="J911" s="7" t="s">
        <v>2982</v>
      </c>
      <c r="K911" s="17">
        <v>76</v>
      </c>
      <c r="L911" t="str">
        <f ca="1">+IF(TODAY()-ICETEX[[#This Row],[fecha_ultimo_movimiento]]&gt;360,"Inactivo","Activo")</f>
        <v>Activo</v>
      </c>
      <c r="M911" s="24">
        <f>+VLOOKUP(ICETEX[[#This Row],[fecha_ultimo_movimiento]],UVR!A:B,2,0)</f>
        <v>386.786</v>
      </c>
      <c r="N911" s="24">
        <v>263</v>
      </c>
      <c r="O911" t="s">
        <v>3264</v>
      </c>
    </row>
    <row r="912" spans="1:15" ht="15" thickBot="1">
      <c r="A912" s="6">
        <v>911</v>
      </c>
      <c r="B912" s="1" t="s">
        <v>2983</v>
      </c>
      <c r="C912" s="1" t="s">
        <v>2984</v>
      </c>
      <c r="D912" s="2">
        <v>86314367</v>
      </c>
      <c r="E912" s="1" t="s">
        <v>45</v>
      </c>
      <c r="F912" s="25">
        <v>165764.56</v>
      </c>
      <c r="G912" s="4">
        <v>44745</v>
      </c>
      <c r="H912" s="4">
        <v>43381</v>
      </c>
      <c r="I912" s="1" t="s">
        <v>139</v>
      </c>
      <c r="J912" s="7" t="s">
        <v>2985</v>
      </c>
      <c r="K912" s="17">
        <v>1092</v>
      </c>
      <c r="L912" t="str">
        <f ca="1">+IF(TODAY()-ICETEX[[#This Row],[fecha_ultimo_movimiento]]&gt;360,"Inactivo","Activo")</f>
        <v>Inactivo</v>
      </c>
      <c r="M912" s="24">
        <f>+VLOOKUP(ICETEX[[#This Row],[fecha_ultimo_movimiento]],UVR!A:B,2,0)</f>
        <v>309.48739999999998</v>
      </c>
      <c r="N912" s="24">
        <v>536</v>
      </c>
      <c r="O912" t="s">
        <v>3264</v>
      </c>
    </row>
    <row r="913" spans="1:15" ht="15" thickBot="1">
      <c r="A913" s="6">
        <v>912</v>
      </c>
      <c r="B913" s="1" t="s">
        <v>2986</v>
      </c>
      <c r="C913" s="1" t="s">
        <v>2987</v>
      </c>
      <c r="D913" s="2">
        <v>91401919</v>
      </c>
      <c r="E913" s="1" t="s">
        <v>12</v>
      </c>
      <c r="F913" s="25">
        <v>211160.19</v>
      </c>
      <c r="G913" s="4">
        <v>44885</v>
      </c>
      <c r="H913" s="4">
        <v>43392</v>
      </c>
      <c r="I913" s="1" t="s">
        <v>2988</v>
      </c>
      <c r="J913" s="7" t="s">
        <v>2989</v>
      </c>
      <c r="K913" s="17">
        <v>952</v>
      </c>
      <c r="L913" t="str">
        <f ca="1">+IF(TODAY()-ICETEX[[#This Row],[fecha_ultimo_movimiento]]&gt;360,"Inactivo","Activo")</f>
        <v>Inactivo</v>
      </c>
      <c r="M913" s="24">
        <f>+VLOOKUP(ICETEX[[#This Row],[fecha_ultimo_movimiento]],UVR!A:B,2,0)</f>
        <v>321.18560000000002</v>
      </c>
      <c r="N913" s="24">
        <v>657</v>
      </c>
      <c r="O913" t="s">
        <v>3264</v>
      </c>
    </row>
    <row r="914" spans="1:15" ht="15" thickBot="1">
      <c r="A914" s="6">
        <v>913</v>
      </c>
      <c r="B914" s="1" t="s">
        <v>2990</v>
      </c>
      <c r="C914" s="1" t="s">
        <v>2991</v>
      </c>
      <c r="D914" s="2">
        <v>111908143</v>
      </c>
      <c r="E914" s="1" t="s">
        <v>45</v>
      </c>
      <c r="F914" s="25">
        <v>166260.85</v>
      </c>
      <c r="G914" s="4">
        <v>45283</v>
      </c>
      <c r="H914" s="4">
        <v>42445</v>
      </c>
      <c r="I914" s="1" t="s">
        <v>534</v>
      </c>
      <c r="J914" s="7" t="s">
        <v>2992</v>
      </c>
      <c r="K914" s="17">
        <v>554</v>
      </c>
      <c r="L914" t="str">
        <f ca="1">+IF(TODAY()-ICETEX[[#This Row],[fecha_ultimo_movimiento]]&gt;360,"Inactivo","Activo")</f>
        <v>Inactivo</v>
      </c>
      <c r="M914" s="24">
        <f>+VLOOKUP(ICETEX[[#This Row],[fecha_ultimo_movimiento]],UVR!A:B,2,0)</f>
        <v>357.39940000000001</v>
      </c>
      <c r="N914" s="24">
        <v>465</v>
      </c>
      <c r="O914" t="s">
        <v>3264</v>
      </c>
    </row>
    <row r="915" spans="1:15" ht="15" thickBot="1">
      <c r="A915" s="6">
        <v>914</v>
      </c>
      <c r="B915" s="1" t="s">
        <v>2993</v>
      </c>
      <c r="C915" s="1" t="s">
        <v>2994</v>
      </c>
      <c r="D915" s="2">
        <v>114025599</v>
      </c>
      <c r="E915" s="1" t="s">
        <v>45</v>
      </c>
      <c r="F915" s="25">
        <v>41864.550000000003</v>
      </c>
      <c r="G915" s="4">
        <v>45785</v>
      </c>
      <c r="H915" s="4">
        <v>42976</v>
      </c>
      <c r="I915" s="1" t="s">
        <v>423</v>
      </c>
      <c r="J915" s="7" t="s">
        <v>2995</v>
      </c>
      <c r="K915" s="17">
        <v>52</v>
      </c>
      <c r="L915" t="str">
        <f ca="1">+IF(TODAY()-ICETEX[[#This Row],[fecha_ultimo_movimiento]]&gt;360,"Inactivo","Activo")</f>
        <v>Activo</v>
      </c>
      <c r="M915" s="24">
        <f>+VLOOKUP(ICETEX[[#This Row],[fecha_ultimo_movimiento]],UVR!A:B,2,0)</f>
        <v>388.46910000000003</v>
      </c>
      <c r="N915" s="24">
        <v>108</v>
      </c>
      <c r="O915" t="s">
        <v>3264</v>
      </c>
    </row>
    <row r="916" spans="1:15" ht="15" thickBot="1">
      <c r="A916" s="6">
        <v>915</v>
      </c>
      <c r="B916" s="1" t="s">
        <v>2996</v>
      </c>
      <c r="C916" s="1" t="s">
        <v>2132</v>
      </c>
      <c r="D916" s="2">
        <v>62205937</v>
      </c>
      <c r="E916" s="1" t="s">
        <v>12</v>
      </c>
      <c r="F916" s="25">
        <v>48739.07</v>
      </c>
      <c r="G916" s="4">
        <v>45813</v>
      </c>
      <c r="H916" s="4">
        <v>43425</v>
      </c>
      <c r="I916" s="1" t="s">
        <v>135</v>
      </c>
      <c r="J916" s="7" t="s">
        <v>2997</v>
      </c>
      <c r="K916" s="17">
        <v>24</v>
      </c>
      <c r="L916" t="str">
        <f ca="1">+IF(TODAY()-ICETEX[[#This Row],[fecha_ultimo_movimiento]]&gt;360,"Inactivo","Activo")</f>
        <v>Activo</v>
      </c>
      <c r="M916" s="24">
        <f>+VLOOKUP(ICETEX[[#This Row],[fecha_ultimo_movimiento]],UVR!A:B,2,0)</f>
        <v>390.67660000000001</v>
      </c>
      <c r="N916" s="24">
        <v>125</v>
      </c>
      <c r="O916" t="s">
        <v>3264</v>
      </c>
    </row>
    <row r="917" spans="1:15" ht="15" thickBot="1">
      <c r="A917" s="6">
        <v>916</v>
      </c>
      <c r="B917" s="1" t="s">
        <v>2998</v>
      </c>
      <c r="C917" s="1" t="s">
        <v>2999</v>
      </c>
      <c r="D917" s="2">
        <v>75905871</v>
      </c>
      <c r="E917" s="1" t="s">
        <v>12</v>
      </c>
      <c r="F917" s="25">
        <v>155584.06</v>
      </c>
      <c r="G917" s="4">
        <v>44197</v>
      </c>
      <c r="H917" s="4">
        <v>42373</v>
      </c>
      <c r="I917" s="1" t="s">
        <v>3000</v>
      </c>
      <c r="J917" s="7" t="s">
        <v>3001</v>
      </c>
      <c r="K917" s="17">
        <v>1640</v>
      </c>
      <c r="L917" t="str">
        <f ca="1">+IF(TODAY()-ICETEX[[#This Row],[fecha_ultimo_movimiento]]&gt;360,"Inactivo","Activo")</f>
        <v>Inactivo</v>
      </c>
      <c r="M917" s="24">
        <f>+VLOOKUP(ICETEX[[#This Row],[fecha_ultimo_movimiento]],UVR!A:B,2,0)</f>
        <v>275.04930000000002</v>
      </c>
      <c r="N917" s="24">
        <v>566</v>
      </c>
      <c r="O917" t="s">
        <v>3264</v>
      </c>
    </row>
    <row r="918" spans="1:15" ht="15" thickBot="1">
      <c r="A918" s="6">
        <v>917</v>
      </c>
      <c r="B918" s="1" t="s">
        <v>3002</v>
      </c>
      <c r="C918" s="1" t="s">
        <v>3003</v>
      </c>
      <c r="D918" s="2">
        <v>67003778</v>
      </c>
      <c r="E918" s="1" t="s">
        <v>12</v>
      </c>
      <c r="F918" s="25">
        <v>121649.31</v>
      </c>
      <c r="G918" s="4">
        <v>45198</v>
      </c>
      <c r="H918" s="4">
        <v>43401</v>
      </c>
      <c r="I918" s="1" t="s">
        <v>3004</v>
      </c>
      <c r="J918" s="7" t="s">
        <v>3005</v>
      </c>
      <c r="K918" s="17">
        <v>639</v>
      </c>
      <c r="L918" t="str">
        <f ca="1">+IF(TODAY()-ICETEX[[#This Row],[fecha_ultimo_movimiento]]&gt;360,"Inactivo","Activo")</f>
        <v>Inactivo</v>
      </c>
      <c r="M918" s="24">
        <f>+VLOOKUP(ICETEX[[#This Row],[fecha_ultimo_movimiento]],UVR!A:B,2,0)</f>
        <v>352.8494</v>
      </c>
      <c r="N918" s="24">
        <v>345</v>
      </c>
      <c r="O918" t="s">
        <v>3264</v>
      </c>
    </row>
    <row r="919" spans="1:15" ht="15" thickBot="1">
      <c r="A919" s="6">
        <v>918</v>
      </c>
      <c r="B919" s="1" t="s">
        <v>3006</v>
      </c>
      <c r="C919" s="1" t="s">
        <v>3007</v>
      </c>
      <c r="D919" s="2">
        <v>91014924</v>
      </c>
      <c r="E919" s="1" t="s">
        <v>45</v>
      </c>
      <c r="F919" s="25">
        <v>42856.23</v>
      </c>
      <c r="G919" s="4">
        <v>44321</v>
      </c>
      <c r="H919" s="4">
        <v>42978</v>
      </c>
      <c r="I919" s="1" t="s">
        <v>3008</v>
      </c>
      <c r="J919" s="8" t="s">
        <v>3009</v>
      </c>
      <c r="K919" s="17">
        <v>1516</v>
      </c>
      <c r="L919" t="str">
        <f ca="1">+IF(TODAY()-ICETEX[[#This Row],[fecha_ultimo_movimiento]]&gt;360,"Inactivo","Activo")</f>
        <v>Inactivo</v>
      </c>
      <c r="M919" s="24">
        <f>+VLOOKUP(ICETEX[[#This Row],[fecha_ultimo_movimiento]],UVR!A:B,2,0)</f>
        <v>279.75880000000001</v>
      </c>
      <c r="N919" s="24">
        <v>153</v>
      </c>
      <c r="O919" t="s">
        <v>3265</v>
      </c>
    </row>
    <row r="920" spans="1:15" ht="15" thickBot="1">
      <c r="A920" s="6">
        <v>919</v>
      </c>
      <c r="B920" s="1" t="s">
        <v>3010</v>
      </c>
      <c r="C920" s="1" t="s">
        <v>3011</v>
      </c>
      <c r="D920" s="2">
        <v>124303065</v>
      </c>
      <c r="E920" s="1" t="s">
        <v>45</v>
      </c>
      <c r="F920" s="25">
        <v>179884.43</v>
      </c>
      <c r="G920" s="4">
        <v>44536</v>
      </c>
      <c r="H920" s="4">
        <v>43357</v>
      </c>
      <c r="I920" s="1" t="s">
        <v>762</v>
      </c>
      <c r="J920" s="7" t="s">
        <v>3012</v>
      </c>
      <c r="K920" s="17">
        <v>1301</v>
      </c>
      <c r="L920" t="str">
        <f ca="1">+IF(TODAY()-ICETEX[[#This Row],[fecha_ultimo_movimiento]]&gt;360,"Inactivo","Activo")</f>
        <v>Inactivo</v>
      </c>
      <c r="M920" s="24">
        <f>+VLOOKUP(ICETEX[[#This Row],[fecha_ultimo_movimiento]],UVR!A:B,2,0)</f>
        <v>287.86840000000001</v>
      </c>
      <c r="N920" s="24">
        <v>625</v>
      </c>
      <c r="O920" t="s">
        <v>3264</v>
      </c>
    </row>
    <row r="921" spans="1:15" ht="15" thickBot="1">
      <c r="A921" s="6">
        <v>920</v>
      </c>
      <c r="B921" s="1" t="s">
        <v>1241</v>
      </c>
      <c r="C921" s="1" t="s">
        <v>3013</v>
      </c>
      <c r="D921" s="2">
        <v>123206406</v>
      </c>
      <c r="E921" s="1" t="s">
        <v>12</v>
      </c>
      <c r="F921" s="25">
        <v>19004.2</v>
      </c>
      <c r="G921" s="4">
        <v>45048</v>
      </c>
      <c r="H921" s="4">
        <v>43049</v>
      </c>
      <c r="I921" s="1" t="s">
        <v>54</v>
      </c>
      <c r="J921" s="7" t="s">
        <v>3014</v>
      </c>
      <c r="K921" s="17">
        <v>789</v>
      </c>
      <c r="L921" t="str">
        <f ca="1">+IF(TODAY()-ICETEX[[#This Row],[fecha_ultimo_movimiento]]&gt;360,"Inactivo","Activo")</f>
        <v>Inactivo</v>
      </c>
      <c r="M921" s="24">
        <f>+VLOOKUP(ICETEX[[#This Row],[fecha_ultimo_movimiento]],UVR!A:B,2,0)</f>
        <v>343.16660000000002</v>
      </c>
      <c r="N921" s="24">
        <v>55</v>
      </c>
      <c r="O921" t="s">
        <v>3265</v>
      </c>
    </row>
    <row r="922" spans="1:15" ht="15" thickBot="1">
      <c r="A922" s="6">
        <v>921</v>
      </c>
      <c r="B922" s="1" t="s">
        <v>3015</v>
      </c>
      <c r="C922" s="1" t="s">
        <v>3016</v>
      </c>
      <c r="D922" s="2">
        <v>242272874</v>
      </c>
      <c r="E922" s="1" t="s">
        <v>45</v>
      </c>
      <c r="F922" s="25">
        <v>66751.78</v>
      </c>
      <c r="G922" s="4">
        <v>45469</v>
      </c>
      <c r="H922" s="4">
        <v>43158</v>
      </c>
      <c r="I922" s="1" t="s">
        <v>1686</v>
      </c>
      <c r="J922" s="7" t="s">
        <v>3017</v>
      </c>
      <c r="K922" s="17">
        <v>368</v>
      </c>
      <c r="L922" t="str">
        <f ca="1">+IF(TODAY()-ICETEX[[#This Row],[fecha_ultimo_movimiento]]&gt;360,"Inactivo","Activo")</f>
        <v>Inactivo</v>
      </c>
      <c r="M922" s="24">
        <f>+VLOOKUP(ICETEX[[#This Row],[fecha_ultimo_movimiento]],UVR!A:B,2,0)</f>
        <v>372.87869999999998</v>
      </c>
      <c r="N922" s="24">
        <v>179</v>
      </c>
      <c r="O922" t="s">
        <v>3265</v>
      </c>
    </row>
    <row r="923" spans="1:15" ht="15" thickBot="1">
      <c r="A923" s="6">
        <v>922</v>
      </c>
      <c r="B923" s="1" t="s">
        <v>3018</v>
      </c>
      <c r="C923" s="1" t="s">
        <v>3019</v>
      </c>
      <c r="D923" s="2">
        <v>91409487</v>
      </c>
      <c r="E923" s="1" t="s">
        <v>45</v>
      </c>
      <c r="F923" s="25">
        <v>192243.8</v>
      </c>
      <c r="G923" s="4">
        <v>45437</v>
      </c>
      <c r="H923" s="4">
        <v>42468</v>
      </c>
      <c r="I923" s="1" t="s">
        <v>1767</v>
      </c>
      <c r="J923" s="7" t="s">
        <v>190</v>
      </c>
      <c r="K923" s="17">
        <v>400</v>
      </c>
      <c r="L923" t="str">
        <f ca="1">+IF(TODAY()-ICETEX[[#This Row],[fecha_ultimo_movimiento]]&gt;360,"Inactivo","Activo")</f>
        <v>Inactivo</v>
      </c>
      <c r="M923" s="24">
        <f>+VLOOKUP(ICETEX[[#This Row],[fecha_ultimo_movimiento]],UVR!A:B,2,0)</f>
        <v>370.81189999999998</v>
      </c>
      <c r="N923" s="24">
        <v>518</v>
      </c>
      <c r="O923" t="s">
        <v>3264</v>
      </c>
    </row>
    <row r="924" spans="1:15" ht="15" thickBot="1">
      <c r="A924" s="6">
        <v>923</v>
      </c>
      <c r="B924" s="1" t="s">
        <v>3020</v>
      </c>
      <c r="C924" s="1" t="s">
        <v>3021</v>
      </c>
      <c r="D924" s="2">
        <v>122241132</v>
      </c>
      <c r="E924" s="1" t="s">
        <v>12</v>
      </c>
      <c r="F924" s="25">
        <v>172272.04</v>
      </c>
      <c r="G924" s="4">
        <v>45148</v>
      </c>
      <c r="H924" s="4">
        <v>42848</v>
      </c>
      <c r="I924" s="1" t="s">
        <v>58</v>
      </c>
      <c r="J924" s="7" t="s">
        <v>3022</v>
      </c>
      <c r="K924" s="17">
        <v>689</v>
      </c>
      <c r="L924" t="str">
        <f ca="1">+IF(TODAY()-ICETEX[[#This Row],[fecha_ultimo_movimiento]]&gt;360,"Inactivo","Activo")</f>
        <v>Inactivo</v>
      </c>
      <c r="M924" s="24">
        <f>+VLOOKUP(ICETEX[[#This Row],[fecha_ultimo_movimiento]],UVR!A:B,2,0)</f>
        <v>349.78379999999999</v>
      </c>
      <c r="N924" s="24">
        <v>493</v>
      </c>
      <c r="O924" t="s">
        <v>3264</v>
      </c>
    </row>
    <row r="925" spans="1:15" ht="15" thickBot="1">
      <c r="A925" s="6">
        <v>924</v>
      </c>
      <c r="B925" s="1" t="s">
        <v>3023</v>
      </c>
      <c r="C925" s="1" t="s">
        <v>3024</v>
      </c>
      <c r="D925" s="2">
        <v>102104749</v>
      </c>
      <c r="E925" s="1" t="s">
        <v>45</v>
      </c>
      <c r="F925" s="25">
        <v>103777.89</v>
      </c>
      <c r="G925" s="4">
        <v>45753</v>
      </c>
      <c r="H925" s="4">
        <v>42836</v>
      </c>
      <c r="I925" s="1" t="s">
        <v>471</v>
      </c>
      <c r="J925" s="7" t="s">
        <v>3025</v>
      </c>
      <c r="K925" s="17">
        <v>84</v>
      </c>
      <c r="L925" t="str">
        <f ca="1">+IF(TODAY()-ICETEX[[#This Row],[fecha_ultimo_movimiento]]&gt;360,"Inactivo","Activo")</f>
        <v>Activo</v>
      </c>
      <c r="M925" s="24">
        <f>+VLOOKUP(ICETEX[[#This Row],[fecha_ultimo_movimiento]],UVR!A:B,2,0)</f>
        <v>385.65620000000001</v>
      </c>
      <c r="N925" s="24">
        <v>269</v>
      </c>
      <c r="O925" t="s">
        <v>3264</v>
      </c>
    </row>
    <row r="926" spans="1:15" ht="15" thickBot="1">
      <c r="A926" s="6">
        <v>925</v>
      </c>
      <c r="B926" s="1" t="s">
        <v>3026</v>
      </c>
      <c r="C926" s="1" t="s">
        <v>3027</v>
      </c>
      <c r="D926" s="2">
        <v>83901744</v>
      </c>
      <c r="E926" s="1" t="s">
        <v>45</v>
      </c>
      <c r="F926" s="25">
        <v>111026.32</v>
      </c>
      <c r="G926" s="4">
        <v>45003</v>
      </c>
      <c r="H926" s="4">
        <v>43003</v>
      </c>
      <c r="I926" s="1" t="s">
        <v>25</v>
      </c>
      <c r="J926" s="7" t="s">
        <v>3028</v>
      </c>
      <c r="K926" s="17">
        <v>834</v>
      </c>
      <c r="L926" t="str">
        <f ca="1">+IF(TODAY()-ICETEX[[#This Row],[fecha_ultimo_movimiento]]&gt;360,"Inactivo","Activo")</f>
        <v>Inactivo</v>
      </c>
      <c r="M926" s="24">
        <f>+VLOOKUP(ICETEX[[#This Row],[fecha_ultimo_movimiento]],UVR!A:B,2,0)</f>
        <v>336.10599999999999</v>
      </c>
      <c r="N926" s="24">
        <v>330</v>
      </c>
      <c r="O926" t="s">
        <v>3264</v>
      </c>
    </row>
    <row r="927" spans="1:15" ht="15" thickBot="1">
      <c r="A927" s="6">
        <v>926</v>
      </c>
      <c r="B927" s="1" t="s">
        <v>599</v>
      </c>
      <c r="C927" s="1" t="s">
        <v>3029</v>
      </c>
      <c r="D927" s="2">
        <v>52100893</v>
      </c>
      <c r="E927" s="1" t="s">
        <v>45</v>
      </c>
      <c r="F927" s="25">
        <v>159939.74</v>
      </c>
      <c r="G927" s="4">
        <v>44883</v>
      </c>
      <c r="H927" s="4">
        <v>43337</v>
      </c>
      <c r="I927" s="1" t="s">
        <v>147</v>
      </c>
      <c r="J927" s="7" t="s">
        <v>3030</v>
      </c>
      <c r="K927" s="17">
        <v>954</v>
      </c>
      <c r="L927" t="str">
        <f ca="1">+IF(TODAY()-ICETEX[[#This Row],[fecha_ultimo_movimiento]]&gt;360,"Inactivo","Activo")</f>
        <v>Inactivo</v>
      </c>
      <c r="M927" s="24">
        <f>+VLOOKUP(ICETEX[[#This Row],[fecha_ultimo_movimiento]],UVR!A:B,2,0)</f>
        <v>321.03199999999998</v>
      </c>
      <c r="N927" s="24">
        <v>498</v>
      </c>
      <c r="O927" t="s">
        <v>3264</v>
      </c>
    </row>
    <row r="928" spans="1:15" ht="15" thickBot="1">
      <c r="A928" s="6">
        <v>927</v>
      </c>
      <c r="B928" s="1" t="s">
        <v>3031</v>
      </c>
      <c r="C928" s="1" t="s">
        <v>3032</v>
      </c>
      <c r="D928" s="2">
        <v>211372077</v>
      </c>
      <c r="E928" s="1" t="s">
        <v>12</v>
      </c>
      <c r="F928" s="25">
        <v>214620</v>
      </c>
      <c r="G928" s="4">
        <v>45247</v>
      </c>
      <c r="H928" s="4">
        <v>42512</v>
      </c>
      <c r="I928" s="1" t="s">
        <v>415</v>
      </c>
      <c r="J928" s="7" t="s">
        <v>1235</v>
      </c>
      <c r="K928" s="17">
        <v>590</v>
      </c>
      <c r="L928" t="str">
        <f ca="1">+IF(TODAY()-ICETEX[[#This Row],[fecha_ultimo_movimiento]]&gt;360,"Inactivo","Activo")</f>
        <v>Inactivo</v>
      </c>
      <c r="M928" s="24">
        <f>+VLOOKUP(ICETEX[[#This Row],[fecha_ultimo_movimiento]],UVR!A:B,2,0)</f>
        <v>356.13630000000001</v>
      </c>
      <c r="N928" s="24">
        <v>603</v>
      </c>
      <c r="O928" t="s">
        <v>3264</v>
      </c>
    </row>
    <row r="929" spans="1:15" ht="15" thickBot="1">
      <c r="A929" s="6">
        <v>928</v>
      </c>
      <c r="B929" s="1" t="s">
        <v>3033</v>
      </c>
      <c r="C929" s="1" t="s">
        <v>3034</v>
      </c>
      <c r="D929" s="2">
        <v>113009464</v>
      </c>
      <c r="E929" s="1" t="s">
        <v>45</v>
      </c>
      <c r="F929" s="25">
        <v>146626.5</v>
      </c>
      <c r="G929" s="4">
        <v>45370</v>
      </c>
      <c r="H929" s="4">
        <v>43456</v>
      </c>
      <c r="I929" s="1" t="s">
        <v>534</v>
      </c>
      <c r="J929" s="7" t="s">
        <v>3035</v>
      </c>
      <c r="K929" s="17">
        <v>467</v>
      </c>
      <c r="L929" t="str">
        <f ca="1">+IF(TODAY()-ICETEX[[#This Row],[fecha_ultimo_movimiento]]&gt;360,"Inactivo","Activo")</f>
        <v>Inactivo</v>
      </c>
      <c r="M929" s="24">
        <f>+VLOOKUP(ICETEX[[#This Row],[fecha_ultimo_movimiento]],UVR!A:B,2,0)</f>
        <v>364.08210000000003</v>
      </c>
      <c r="N929" s="24">
        <v>403</v>
      </c>
      <c r="O929" t="s">
        <v>3264</v>
      </c>
    </row>
    <row r="930" spans="1:15" ht="15" thickBot="1">
      <c r="A930" s="6">
        <v>929</v>
      </c>
      <c r="B930" s="1" t="s">
        <v>3036</v>
      </c>
      <c r="C930" s="1" t="s">
        <v>3037</v>
      </c>
      <c r="D930" s="2">
        <v>65505870</v>
      </c>
      <c r="E930" s="1" t="s">
        <v>45</v>
      </c>
      <c r="F930" s="25">
        <v>86232.12</v>
      </c>
      <c r="G930" s="4">
        <v>44460</v>
      </c>
      <c r="H930" s="4">
        <v>43197</v>
      </c>
      <c r="I930" s="1" t="s">
        <v>3038</v>
      </c>
      <c r="J930" s="7" t="s">
        <v>3039</v>
      </c>
      <c r="K930" s="17">
        <v>1377</v>
      </c>
      <c r="L930" t="str">
        <f ca="1">+IF(TODAY()-ICETEX[[#This Row],[fecha_ultimo_movimiento]]&gt;360,"Inactivo","Activo")</f>
        <v>Inactivo</v>
      </c>
      <c r="M930" s="24">
        <f>+VLOOKUP(ICETEX[[#This Row],[fecha_ultimo_movimiento]],UVR!A:B,2,0)</f>
        <v>285.73050000000001</v>
      </c>
      <c r="N930" s="24">
        <v>302</v>
      </c>
      <c r="O930" t="s">
        <v>3265</v>
      </c>
    </row>
    <row r="931" spans="1:15" ht="15" thickBot="1">
      <c r="A931" s="6">
        <v>930</v>
      </c>
      <c r="B931" s="1" t="s">
        <v>3040</v>
      </c>
      <c r="C931" s="1" t="s">
        <v>3041</v>
      </c>
      <c r="D931" s="2">
        <v>322284892</v>
      </c>
      <c r="E931" s="1" t="s">
        <v>12</v>
      </c>
      <c r="F931" s="25">
        <v>56399.32</v>
      </c>
      <c r="G931" s="4">
        <v>44389</v>
      </c>
      <c r="H931" s="4">
        <v>42874</v>
      </c>
      <c r="I931" s="1" t="s">
        <v>419</v>
      </c>
      <c r="J931" s="7" t="s">
        <v>3042</v>
      </c>
      <c r="K931" s="17">
        <v>1448</v>
      </c>
      <c r="L931" t="str">
        <f ca="1">+IF(TODAY()-ICETEX[[#This Row],[fecha_ultimo_movimiento]]&gt;360,"Inactivo","Activo")</f>
        <v>Inactivo</v>
      </c>
      <c r="M931" s="24">
        <f>+VLOOKUP(ICETEX[[#This Row],[fecha_ultimo_movimiento]],UVR!A:B,2,0)</f>
        <v>284.42259999999999</v>
      </c>
      <c r="N931" s="24">
        <v>198</v>
      </c>
      <c r="O931" t="s">
        <v>3265</v>
      </c>
    </row>
    <row r="932" spans="1:15" ht="15" thickBot="1">
      <c r="A932" s="6">
        <v>931</v>
      </c>
      <c r="B932" s="1" t="s">
        <v>3043</v>
      </c>
      <c r="C932" s="1" t="s">
        <v>3044</v>
      </c>
      <c r="D932" s="2">
        <v>91001157</v>
      </c>
      <c r="E932" s="1" t="s">
        <v>12</v>
      </c>
      <c r="F932" s="25">
        <v>82224.61</v>
      </c>
      <c r="G932" s="4">
        <v>44110</v>
      </c>
      <c r="H932" s="4">
        <v>42820</v>
      </c>
      <c r="I932" s="1" t="s">
        <v>127</v>
      </c>
      <c r="J932" s="7" t="s">
        <v>3045</v>
      </c>
      <c r="K932" s="17">
        <v>1727</v>
      </c>
      <c r="L932" t="str">
        <f ca="1">+IF(TODAY()-ICETEX[[#This Row],[fecha_ultimo_movimiento]]&gt;360,"Inactivo","Activo")</f>
        <v>Inactivo</v>
      </c>
      <c r="M932" s="24">
        <f>+VLOOKUP(ICETEX[[#This Row],[fecha_ultimo_movimiento]],UVR!A:B,2,0)</f>
        <v>274.57080000000002</v>
      </c>
      <c r="N932" s="24">
        <v>299</v>
      </c>
      <c r="O932" t="s">
        <v>3265</v>
      </c>
    </row>
    <row r="933" spans="1:15" ht="15" thickBot="1">
      <c r="A933" s="6">
        <v>932</v>
      </c>
      <c r="B933" s="1" t="s">
        <v>3046</v>
      </c>
      <c r="C933" s="1" t="s">
        <v>3047</v>
      </c>
      <c r="D933" s="2">
        <v>122237654</v>
      </c>
      <c r="E933" s="1" t="s">
        <v>12</v>
      </c>
      <c r="F933" s="25">
        <v>13141.3</v>
      </c>
      <c r="G933" s="4">
        <v>45044</v>
      </c>
      <c r="H933" s="4">
        <v>42599</v>
      </c>
      <c r="I933" s="1" t="s">
        <v>495</v>
      </c>
      <c r="J933" s="7" t="s">
        <v>3048</v>
      </c>
      <c r="K933" s="17">
        <v>793</v>
      </c>
      <c r="L933" t="str">
        <f ca="1">+IF(TODAY()-ICETEX[[#This Row],[fecha_ultimo_movimiento]]&gt;360,"Inactivo","Activo")</f>
        <v>Inactivo</v>
      </c>
      <c r="M933" s="24">
        <f>+VLOOKUP(ICETEX[[#This Row],[fecha_ultimo_movimiento]],UVR!A:B,2,0)</f>
        <v>342.68900000000002</v>
      </c>
      <c r="N933" s="24">
        <v>38</v>
      </c>
      <c r="O933" t="s">
        <v>3265</v>
      </c>
    </row>
    <row r="934" spans="1:15" ht="15" thickBot="1">
      <c r="A934" s="6">
        <v>933</v>
      </c>
      <c r="B934" s="1" t="s">
        <v>3049</v>
      </c>
      <c r="C934" s="1" t="s">
        <v>3050</v>
      </c>
      <c r="D934" s="2">
        <v>22072692</v>
      </c>
      <c r="E934" s="1" t="s">
        <v>12</v>
      </c>
      <c r="F934" s="25">
        <v>136710.51999999999</v>
      </c>
      <c r="G934" s="4">
        <v>43937</v>
      </c>
      <c r="H934" s="4">
        <v>42981</v>
      </c>
      <c r="I934" s="1" t="s">
        <v>96</v>
      </c>
      <c r="J934" s="7" t="s">
        <v>3051</v>
      </c>
      <c r="K934" s="17">
        <v>1900</v>
      </c>
      <c r="L934" t="str">
        <f ca="1">+IF(TODAY()-ICETEX[[#This Row],[fecha_ultimo_movimiento]]&gt;360,"Inactivo","Activo")</f>
        <v>Inactivo</v>
      </c>
      <c r="M934" s="24">
        <f>+VLOOKUP(ICETEX[[#This Row],[fecha_ultimo_movimiento]],UVR!A:B,2,0)</f>
        <v>274.56790000000001</v>
      </c>
      <c r="N934" s="24">
        <v>498</v>
      </c>
      <c r="O934" t="s">
        <v>3264</v>
      </c>
    </row>
    <row r="935" spans="1:15" ht="15" thickBot="1">
      <c r="A935" s="6">
        <v>934</v>
      </c>
      <c r="B935" s="1" t="s">
        <v>3052</v>
      </c>
      <c r="C935" s="1" t="s">
        <v>2560</v>
      </c>
      <c r="D935" s="2">
        <v>72401064</v>
      </c>
      <c r="E935" s="1" t="s">
        <v>12</v>
      </c>
      <c r="F935" s="25">
        <v>163876.82999999999</v>
      </c>
      <c r="G935" s="4">
        <v>44244</v>
      </c>
      <c r="H935" s="4">
        <v>43046</v>
      </c>
      <c r="I935" s="1" t="s">
        <v>2335</v>
      </c>
      <c r="J935" s="7" t="s">
        <v>3053</v>
      </c>
      <c r="K935" s="17">
        <v>1593</v>
      </c>
      <c r="L935" t="str">
        <f ca="1">+IF(TODAY()-ICETEX[[#This Row],[fecha_ultimo_movimiento]]&gt;360,"Inactivo","Activo")</f>
        <v>Inactivo</v>
      </c>
      <c r="M935" s="24">
        <f>+VLOOKUP(ICETEX[[#This Row],[fecha_ultimo_movimiento]],UVR!A:B,2,0)</f>
        <v>275.988</v>
      </c>
      <c r="N935" s="24">
        <v>594</v>
      </c>
      <c r="O935" t="s">
        <v>3264</v>
      </c>
    </row>
    <row r="936" spans="1:15" ht="15" thickBot="1">
      <c r="A936" s="6">
        <v>935</v>
      </c>
      <c r="B936" s="1" t="s">
        <v>3054</v>
      </c>
      <c r="C936" s="1" t="s">
        <v>3055</v>
      </c>
      <c r="D936" s="2">
        <v>21207413</v>
      </c>
      <c r="E936" s="1" t="s">
        <v>45</v>
      </c>
      <c r="F936" s="25">
        <v>105059.51</v>
      </c>
      <c r="G936" s="4">
        <v>44980</v>
      </c>
      <c r="H936" s="4">
        <v>42730</v>
      </c>
      <c r="I936" s="1" t="s">
        <v>151</v>
      </c>
      <c r="J936" s="7" t="s">
        <v>3056</v>
      </c>
      <c r="K936" s="17">
        <v>857</v>
      </c>
      <c r="L936" t="str">
        <f ca="1">+IF(TODAY()-ICETEX[[#This Row],[fecha_ultimo_movimiento]]&gt;360,"Inactivo","Activo")</f>
        <v>Inactivo</v>
      </c>
      <c r="M936" s="24">
        <f>+VLOOKUP(ICETEX[[#This Row],[fecha_ultimo_movimiento]],UVR!A:B,2,0)</f>
        <v>331.36840000000001</v>
      </c>
      <c r="N936" s="24">
        <v>317</v>
      </c>
      <c r="O936" t="s">
        <v>3265</v>
      </c>
    </row>
    <row r="937" spans="1:15" ht="15" thickBot="1">
      <c r="A937" s="6">
        <v>936</v>
      </c>
      <c r="B937" s="1" t="s">
        <v>3057</v>
      </c>
      <c r="C937" s="1" t="s">
        <v>3058</v>
      </c>
      <c r="D937" s="2">
        <v>61119464</v>
      </c>
      <c r="E937" s="1" t="s">
        <v>45</v>
      </c>
      <c r="F937" s="25">
        <v>72215.28</v>
      </c>
      <c r="G937" s="4">
        <v>45824</v>
      </c>
      <c r="H937" s="4">
        <v>43306</v>
      </c>
      <c r="I937" s="1" t="s">
        <v>1252</v>
      </c>
      <c r="J937" s="7" t="s">
        <v>140</v>
      </c>
      <c r="K937" s="17">
        <v>13</v>
      </c>
      <c r="L937" t="str">
        <f ca="1">+IF(TODAY()-ICETEX[[#This Row],[fecha_ultimo_movimiento]]&gt;360,"Inactivo","Activo")</f>
        <v>Activo</v>
      </c>
      <c r="M937" s="24">
        <f>+VLOOKUP(ICETEX[[#This Row],[fecha_ultimo_movimiento]],UVR!A:B,2,0)</f>
        <v>391.54820000000001</v>
      </c>
      <c r="N937" s="24">
        <v>184</v>
      </c>
      <c r="O937" t="s">
        <v>3264</v>
      </c>
    </row>
    <row r="938" spans="1:15" ht="26.5" thickBot="1">
      <c r="A938" s="6">
        <v>937</v>
      </c>
      <c r="B938" s="1" t="s">
        <v>3059</v>
      </c>
      <c r="C938" s="1" t="s">
        <v>3060</v>
      </c>
      <c r="D938" s="2">
        <v>101014953</v>
      </c>
      <c r="E938" s="1" t="s">
        <v>12</v>
      </c>
      <c r="F938" s="25">
        <v>74297.759999999995</v>
      </c>
      <c r="G938" s="4">
        <v>45059</v>
      </c>
      <c r="H938" s="4">
        <v>42988</v>
      </c>
      <c r="I938" s="1" t="s">
        <v>3061</v>
      </c>
      <c r="J938" s="7" t="s">
        <v>3062</v>
      </c>
      <c r="K938" s="17">
        <v>778</v>
      </c>
      <c r="L938" t="str">
        <f ca="1">+IF(TODAY()-ICETEX[[#This Row],[fecha_ultimo_movimiento]]&gt;360,"Inactivo","Activo")</f>
        <v>Inactivo</v>
      </c>
      <c r="M938" s="24">
        <f>+VLOOKUP(ICETEX[[#This Row],[fecha_ultimo_movimiento]],UVR!A:B,2,0)</f>
        <v>344.48340000000002</v>
      </c>
      <c r="N938" s="24">
        <v>216</v>
      </c>
      <c r="O938" t="s">
        <v>3265</v>
      </c>
    </row>
    <row r="939" spans="1:15" ht="15" thickBot="1">
      <c r="A939" s="6">
        <v>938</v>
      </c>
      <c r="B939" s="1" t="s">
        <v>2620</v>
      </c>
      <c r="C939" s="1" t="s">
        <v>3063</v>
      </c>
      <c r="D939" s="2">
        <v>11601443</v>
      </c>
      <c r="E939" s="1" t="s">
        <v>12</v>
      </c>
      <c r="F939" s="25">
        <v>163387.37</v>
      </c>
      <c r="G939" s="4">
        <v>44936</v>
      </c>
      <c r="H939" s="4">
        <v>43290</v>
      </c>
      <c r="I939" s="1" t="s">
        <v>1374</v>
      </c>
      <c r="J939" s="7" t="s">
        <v>3064</v>
      </c>
      <c r="K939" s="17">
        <v>901</v>
      </c>
      <c r="L939" t="str">
        <f ca="1">+IF(TODAY()-ICETEX[[#This Row],[fecha_ultimo_movimiento]]&gt;360,"Inactivo","Activo")</f>
        <v>Inactivo</v>
      </c>
      <c r="M939" s="24">
        <f>+VLOOKUP(ICETEX[[#This Row],[fecha_ultimo_movimiento]],UVR!A:B,2,0)</f>
        <v>325.197</v>
      </c>
      <c r="N939" s="24">
        <v>502</v>
      </c>
      <c r="O939" t="s">
        <v>3264</v>
      </c>
    </row>
    <row r="940" spans="1:15" ht="15" thickBot="1">
      <c r="A940" s="6">
        <v>939</v>
      </c>
      <c r="B940" s="1" t="s">
        <v>3065</v>
      </c>
      <c r="C940" s="1" t="s">
        <v>3066</v>
      </c>
      <c r="D940" s="2">
        <v>42205038</v>
      </c>
      <c r="E940" s="1" t="s">
        <v>45</v>
      </c>
      <c r="F940" s="25">
        <v>135000.85999999999</v>
      </c>
      <c r="G940" s="4">
        <v>45026</v>
      </c>
      <c r="H940" s="4">
        <v>42536</v>
      </c>
      <c r="I940" s="1" t="s">
        <v>330</v>
      </c>
      <c r="J940" s="7" t="s">
        <v>3067</v>
      </c>
      <c r="K940" s="17">
        <v>811</v>
      </c>
      <c r="L940" t="str">
        <f ca="1">+IF(TODAY()-ICETEX[[#This Row],[fecha_ultimo_movimiento]]&gt;360,"Inactivo","Activo")</f>
        <v>Inactivo</v>
      </c>
      <c r="M940" s="24">
        <f>+VLOOKUP(ICETEX[[#This Row],[fecha_ultimo_movimiento]],UVR!A:B,2,0)</f>
        <v>340.23669999999998</v>
      </c>
      <c r="N940" s="24">
        <v>397</v>
      </c>
      <c r="O940" t="s">
        <v>3264</v>
      </c>
    </row>
    <row r="941" spans="1:15" ht="15" thickBot="1">
      <c r="A941" s="6">
        <v>940</v>
      </c>
      <c r="B941" s="1" t="s">
        <v>909</v>
      </c>
      <c r="C941" s="1" t="s">
        <v>3068</v>
      </c>
      <c r="D941" s="2">
        <v>125108939</v>
      </c>
      <c r="E941" s="1" t="s">
        <v>45</v>
      </c>
      <c r="F941" s="25">
        <v>34160.639999999999</v>
      </c>
      <c r="G941" s="4">
        <v>44466</v>
      </c>
      <c r="H941" s="4">
        <v>42854</v>
      </c>
      <c r="I941" s="1" t="s">
        <v>263</v>
      </c>
      <c r="J941" s="7" t="s">
        <v>3069</v>
      </c>
      <c r="K941" s="17">
        <v>1371</v>
      </c>
      <c r="L941" t="str">
        <f ca="1">+IF(TODAY()-ICETEX[[#This Row],[fecha_ultimo_movimiento]]&gt;360,"Inactivo","Activo")</f>
        <v>Inactivo</v>
      </c>
      <c r="M941" s="24">
        <f>+VLOOKUP(ICETEX[[#This Row],[fecha_ultimo_movimiento]],UVR!A:B,2,0)</f>
        <v>285.98719999999997</v>
      </c>
      <c r="N941" s="24">
        <v>119</v>
      </c>
      <c r="O941" t="s">
        <v>3265</v>
      </c>
    </row>
    <row r="942" spans="1:15" ht="15" thickBot="1">
      <c r="A942" s="6">
        <v>941</v>
      </c>
      <c r="B942" s="1" t="s">
        <v>3070</v>
      </c>
      <c r="C942" s="1" t="s">
        <v>3071</v>
      </c>
      <c r="D942" s="2">
        <v>231375520</v>
      </c>
      <c r="E942" s="1" t="s">
        <v>45</v>
      </c>
      <c r="F942" s="25">
        <v>19980.919999999998</v>
      </c>
      <c r="G942" s="4">
        <v>44640</v>
      </c>
      <c r="H942" s="4">
        <v>43060</v>
      </c>
      <c r="I942" s="1" t="s">
        <v>1209</v>
      </c>
      <c r="J942" s="7" t="s">
        <v>3072</v>
      </c>
      <c r="K942" s="17">
        <v>1197</v>
      </c>
      <c r="L942" t="str">
        <f ca="1">+IF(TODAY()-ICETEX[[#This Row],[fecha_ultimo_movimiento]]&gt;360,"Inactivo","Activo")</f>
        <v>Inactivo</v>
      </c>
      <c r="M942" s="24">
        <f>+VLOOKUP(ICETEX[[#This Row],[fecha_ultimo_movimiento]],UVR!A:B,2,0)</f>
        <v>297.06909999999999</v>
      </c>
      <c r="N942" s="24">
        <v>67</v>
      </c>
      <c r="O942" t="s">
        <v>3265</v>
      </c>
    </row>
    <row r="943" spans="1:15" ht="15" thickBot="1">
      <c r="A943" s="6">
        <v>942</v>
      </c>
      <c r="B943" s="1" t="s">
        <v>3073</v>
      </c>
      <c r="C943" s="1" t="s">
        <v>3074</v>
      </c>
      <c r="D943" s="2">
        <v>74903308</v>
      </c>
      <c r="E943" s="1" t="s">
        <v>12</v>
      </c>
      <c r="F943" s="25">
        <v>125126.9</v>
      </c>
      <c r="G943" s="4">
        <v>44396</v>
      </c>
      <c r="H943" s="4">
        <v>42433</v>
      </c>
      <c r="I943" s="1" t="s">
        <v>1686</v>
      </c>
      <c r="J943" s="7" t="s">
        <v>3075</v>
      </c>
      <c r="K943" s="17">
        <v>1441</v>
      </c>
      <c r="L943" t="str">
        <f ca="1">+IF(TODAY()-ICETEX[[#This Row],[fecha_ultimo_movimiento]]&gt;360,"Inactivo","Activo")</f>
        <v>Inactivo</v>
      </c>
      <c r="M943" s="24">
        <f>+VLOOKUP(ICETEX[[#This Row],[fecha_ultimo_movimiento]],UVR!A:B,2,0)</f>
        <v>284.68740000000003</v>
      </c>
      <c r="N943" s="24">
        <v>440</v>
      </c>
      <c r="O943" t="s">
        <v>3264</v>
      </c>
    </row>
    <row r="944" spans="1:15" ht="15" thickBot="1">
      <c r="A944" s="6">
        <v>943</v>
      </c>
      <c r="B944" s="1" t="s">
        <v>3076</v>
      </c>
      <c r="C944" s="1" t="s">
        <v>3077</v>
      </c>
      <c r="D944" s="2">
        <v>251473787</v>
      </c>
      <c r="E944" s="1" t="s">
        <v>12</v>
      </c>
      <c r="F944" s="25">
        <v>126162.45</v>
      </c>
      <c r="G944" s="4">
        <v>45738</v>
      </c>
      <c r="H944" s="4">
        <v>42719</v>
      </c>
      <c r="I944" s="1" t="s">
        <v>1256</v>
      </c>
      <c r="J944" s="8" t="s">
        <v>3078</v>
      </c>
      <c r="K944" s="17">
        <v>99</v>
      </c>
      <c r="L944" t="str">
        <f ca="1">+IF(TODAY()-ICETEX[[#This Row],[fecha_ultimo_movimiento]]&gt;360,"Inactivo","Activo")</f>
        <v>Activo</v>
      </c>
      <c r="M944" s="24">
        <f>+VLOOKUP(ICETEX[[#This Row],[fecha_ultimo_movimiento]],UVR!A:B,2,0)</f>
        <v>383.54669999999999</v>
      </c>
      <c r="N944" s="24">
        <v>329</v>
      </c>
      <c r="O944" t="s">
        <v>3264</v>
      </c>
    </row>
    <row r="945" spans="1:15" ht="15" thickBot="1">
      <c r="A945" s="6">
        <v>944</v>
      </c>
      <c r="B945" s="1" t="s">
        <v>3079</v>
      </c>
      <c r="C945" s="1" t="s">
        <v>3080</v>
      </c>
      <c r="D945" s="2">
        <v>72413751</v>
      </c>
      <c r="E945" s="1" t="s">
        <v>12</v>
      </c>
      <c r="F945" s="25">
        <v>124098.79</v>
      </c>
      <c r="G945" s="4">
        <v>45641</v>
      </c>
      <c r="H945" s="4">
        <v>43139</v>
      </c>
      <c r="I945" s="1" t="s">
        <v>270</v>
      </c>
      <c r="J945" s="7" t="s">
        <v>3081</v>
      </c>
      <c r="K945" s="17">
        <v>196</v>
      </c>
      <c r="L945" t="str">
        <f ca="1">+IF(TODAY()-ICETEX[[#This Row],[fecha_ultimo_movimiento]]&gt;360,"Inactivo","Activo")</f>
        <v>Activo</v>
      </c>
      <c r="M945" s="24">
        <f>+VLOOKUP(ICETEX[[#This Row],[fecha_ultimo_movimiento]],UVR!A:B,2,0)</f>
        <v>376.25229999999999</v>
      </c>
      <c r="N945" s="24">
        <v>330</v>
      </c>
      <c r="O945" t="s">
        <v>3264</v>
      </c>
    </row>
    <row r="946" spans="1:15" ht="15" thickBot="1">
      <c r="A946" s="6">
        <v>945</v>
      </c>
      <c r="B946" s="1" t="s">
        <v>3082</v>
      </c>
      <c r="C946" s="1" t="s">
        <v>3083</v>
      </c>
      <c r="D946" s="2">
        <v>91901561</v>
      </c>
      <c r="E946" s="1" t="s">
        <v>12</v>
      </c>
      <c r="F946" s="25">
        <v>214728.41</v>
      </c>
      <c r="G946" s="4">
        <v>45709</v>
      </c>
      <c r="H946" s="4">
        <v>43346</v>
      </c>
      <c r="I946" s="1" t="s">
        <v>562</v>
      </c>
      <c r="J946" s="7" t="s">
        <v>3084</v>
      </c>
      <c r="K946" s="17">
        <v>128</v>
      </c>
      <c r="L946" t="str">
        <f ca="1">+IF(TODAY()-ICETEX[[#This Row],[fecha_ultimo_movimiento]]&gt;360,"Inactivo","Activo")</f>
        <v>Activo</v>
      </c>
      <c r="M946" s="24">
        <f>+VLOOKUP(ICETEX[[#This Row],[fecha_ultimo_movimiento]],UVR!A:B,2,0)</f>
        <v>379.76420000000002</v>
      </c>
      <c r="N946" s="24">
        <v>565</v>
      </c>
      <c r="O946" t="s">
        <v>3264</v>
      </c>
    </row>
    <row r="947" spans="1:15" ht="15" thickBot="1">
      <c r="A947" s="6">
        <v>946</v>
      </c>
      <c r="B947" s="1" t="s">
        <v>3085</v>
      </c>
      <c r="C947" s="1" t="s">
        <v>3086</v>
      </c>
      <c r="D947" s="2">
        <v>61103548</v>
      </c>
      <c r="E947" s="1" t="s">
        <v>45</v>
      </c>
      <c r="F947" s="25">
        <v>21239.68</v>
      </c>
      <c r="G947" s="4">
        <v>45040</v>
      </c>
      <c r="H947" s="4">
        <v>42424</v>
      </c>
      <c r="I947" s="1" t="s">
        <v>1277</v>
      </c>
      <c r="J947" s="7" t="s">
        <v>3087</v>
      </c>
      <c r="K947" s="17">
        <v>797</v>
      </c>
      <c r="L947" t="str">
        <f ca="1">+IF(TODAY()-ICETEX[[#This Row],[fecha_ultimo_movimiento]]&gt;360,"Inactivo","Activo")</f>
        <v>Inactivo</v>
      </c>
      <c r="M947" s="24">
        <f>+VLOOKUP(ICETEX[[#This Row],[fecha_ultimo_movimiento]],UVR!A:B,2,0)</f>
        <v>342.21210000000002</v>
      </c>
      <c r="N947" s="24">
        <v>62</v>
      </c>
      <c r="O947" t="s">
        <v>3265</v>
      </c>
    </row>
    <row r="948" spans="1:15" ht="15" thickBot="1">
      <c r="A948" s="6">
        <v>947</v>
      </c>
      <c r="B948" s="1" t="s">
        <v>3088</v>
      </c>
      <c r="C948" s="1" t="s">
        <v>3089</v>
      </c>
      <c r="D948" s="2">
        <v>84008853</v>
      </c>
      <c r="E948" s="1" t="s">
        <v>12</v>
      </c>
      <c r="F948" s="25">
        <v>162598.54999999999</v>
      </c>
      <c r="G948" s="4">
        <v>44803</v>
      </c>
      <c r="H948" s="4">
        <v>42921</v>
      </c>
      <c r="I948" s="1" t="s">
        <v>780</v>
      </c>
      <c r="J948" s="7" t="s">
        <v>3090</v>
      </c>
      <c r="K948" s="17">
        <v>1034</v>
      </c>
      <c r="L948" t="str">
        <f ca="1">+IF(TODAY()-ICETEX[[#This Row],[fecha_ultimo_movimiento]]&gt;360,"Inactivo","Activo")</f>
        <v>Inactivo</v>
      </c>
      <c r="M948" s="24">
        <f>+VLOOKUP(ICETEX[[#This Row],[fecha_ultimo_movimiento]],UVR!A:B,2,0)</f>
        <v>313.32909999999998</v>
      </c>
      <c r="N948" s="24">
        <v>519</v>
      </c>
      <c r="O948" t="s">
        <v>3264</v>
      </c>
    </row>
    <row r="949" spans="1:15" ht="15" thickBot="1">
      <c r="A949" s="6">
        <v>948</v>
      </c>
      <c r="B949" s="1" t="s">
        <v>3091</v>
      </c>
      <c r="C949" s="1" t="s">
        <v>3092</v>
      </c>
      <c r="D949" s="2">
        <v>75910523</v>
      </c>
      <c r="E949" s="1" t="s">
        <v>45</v>
      </c>
      <c r="F949" s="25">
        <v>158622.14000000001</v>
      </c>
      <c r="G949" s="4">
        <v>44380</v>
      </c>
      <c r="H949" s="4">
        <v>43119</v>
      </c>
      <c r="I949" s="1" t="s">
        <v>127</v>
      </c>
      <c r="J949" s="7" t="s">
        <v>3093</v>
      </c>
      <c r="K949" s="17">
        <v>1457</v>
      </c>
      <c r="L949" t="str">
        <f ca="1">+IF(TODAY()-ICETEX[[#This Row],[fecha_ultimo_movimiento]]&gt;360,"Inactivo","Activo")</f>
        <v>Inactivo</v>
      </c>
      <c r="M949" s="24">
        <f>+VLOOKUP(ICETEX[[#This Row],[fecha_ultimo_movimiento]],UVR!A:B,2,0)</f>
        <v>283.57490000000001</v>
      </c>
      <c r="N949" s="24">
        <v>559</v>
      </c>
      <c r="O949" t="s">
        <v>3264</v>
      </c>
    </row>
    <row r="950" spans="1:15" ht="15" thickBot="1">
      <c r="A950" s="6">
        <v>949</v>
      </c>
      <c r="B950" s="1" t="s">
        <v>3094</v>
      </c>
      <c r="C950" s="1" t="s">
        <v>3095</v>
      </c>
      <c r="D950" s="2">
        <v>71103473</v>
      </c>
      <c r="E950" s="1" t="s">
        <v>45</v>
      </c>
      <c r="F950" s="25">
        <v>84835.24</v>
      </c>
      <c r="G950" s="4">
        <v>45429</v>
      </c>
      <c r="H950" s="4">
        <v>43441</v>
      </c>
      <c r="I950" s="1" t="s">
        <v>3096</v>
      </c>
      <c r="J950" s="7" t="s">
        <v>3097</v>
      </c>
      <c r="K950" s="17">
        <v>408</v>
      </c>
      <c r="L950" t="str">
        <f ca="1">+IF(TODAY()-ICETEX[[#This Row],[fecha_ultimo_movimiento]]&gt;360,"Inactivo","Activo")</f>
        <v>Inactivo</v>
      </c>
      <c r="M950" s="24">
        <f>+VLOOKUP(ICETEX[[#This Row],[fecha_ultimo_movimiento]],UVR!A:B,2,0)</f>
        <v>370.24939999999998</v>
      </c>
      <c r="N950" s="24">
        <v>229</v>
      </c>
      <c r="O950" t="s">
        <v>3265</v>
      </c>
    </row>
    <row r="951" spans="1:15" ht="15" thickBot="1">
      <c r="A951" s="6">
        <v>950</v>
      </c>
      <c r="B951" s="1" t="s">
        <v>3098</v>
      </c>
      <c r="C951" s="1" t="s">
        <v>3099</v>
      </c>
      <c r="D951" s="2">
        <v>81519002</v>
      </c>
      <c r="E951" s="1" t="s">
        <v>45</v>
      </c>
      <c r="F951" s="25">
        <v>197617.05</v>
      </c>
      <c r="G951" s="4">
        <v>45190</v>
      </c>
      <c r="H951" s="4">
        <v>43406</v>
      </c>
      <c r="I951" s="1" t="s">
        <v>2098</v>
      </c>
      <c r="J951" s="8" t="s">
        <v>3100</v>
      </c>
      <c r="K951" s="17">
        <v>647</v>
      </c>
      <c r="L951" t="str">
        <f ca="1">+IF(TODAY()-ICETEX[[#This Row],[fecha_ultimo_movimiento]]&gt;360,"Inactivo","Activo")</f>
        <v>Inactivo</v>
      </c>
      <c r="M951" s="24">
        <f>+VLOOKUP(ICETEX[[#This Row],[fecha_ultimo_movimiento]],UVR!A:B,2,0)</f>
        <v>352.1936</v>
      </c>
      <c r="N951" s="24">
        <v>561</v>
      </c>
      <c r="O951" t="s">
        <v>3264</v>
      </c>
    </row>
    <row r="952" spans="1:15" ht="15" thickBot="1">
      <c r="A952" s="6">
        <v>951</v>
      </c>
      <c r="B952" s="1" t="s">
        <v>3101</v>
      </c>
      <c r="C952" s="1" t="s">
        <v>3102</v>
      </c>
      <c r="D952" s="2">
        <v>101219059</v>
      </c>
      <c r="E952" s="1" t="s">
        <v>12</v>
      </c>
      <c r="F952" s="25">
        <v>110873.24</v>
      </c>
      <c r="G952" s="4">
        <v>45700</v>
      </c>
      <c r="H952" s="4">
        <v>42736</v>
      </c>
      <c r="I952" s="1" t="s">
        <v>471</v>
      </c>
      <c r="J952" s="7" t="s">
        <v>3103</v>
      </c>
      <c r="K952" s="17">
        <v>137</v>
      </c>
      <c r="L952" t="str">
        <f ca="1">+IF(TODAY()-ICETEX[[#This Row],[fecha_ultimo_movimiento]]&gt;360,"Inactivo","Activo")</f>
        <v>Activo</v>
      </c>
      <c r="M952" s="24">
        <f>+VLOOKUP(ICETEX[[#This Row],[fecha_ultimo_movimiento]],UVR!A:B,2,0)</f>
        <v>378.83530000000002</v>
      </c>
      <c r="N952" s="24">
        <v>293</v>
      </c>
      <c r="O952" t="s">
        <v>3264</v>
      </c>
    </row>
    <row r="953" spans="1:15" ht="15" thickBot="1">
      <c r="A953" s="6">
        <v>952</v>
      </c>
      <c r="B953" s="1" t="s">
        <v>3104</v>
      </c>
      <c r="C953" s="1" t="s">
        <v>3105</v>
      </c>
      <c r="D953" s="2">
        <v>31901482</v>
      </c>
      <c r="E953" s="1" t="s">
        <v>12</v>
      </c>
      <c r="F953" s="25">
        <v>24809.49</v>
      </c>
      <c r="G953" s="4">
        <v>45370</v>
      </c>
      <c r="H953" s="4">
        <v>42587</v>
      </c>
      <c r="I953" s="1" t="s">
        <v>151</v>
      </c>
      <c r="J953" s="7" t="s">
        <v>3106</v>
      </c>
      <c r="K953" s="17">
        <v>467</v>
      </c>
      <c r="L953" t="str">
        <f ca="1">+IF(TODAY()-ICETEX[[#This Row],[fecha_ultimo_movimiento]]&gt;360,"Inactivo","Activo")</f>
        <v>Inactivo</v>
      </c>
      <c r="M953" s="24">
        <f>+VLOOKUP(ICETEX[[#This Row],[fecha_ultimo_movimiento]],UVR!A:B,2,0)</f>
        <v>364.08210000000003</v>
      </c>
      <c r="N953" s="24">
        <v>68</v>
      </c>
      <c r="O953" t="s">
        <v>3265</v>
      </c>
    </row>
    <row r="954" spans="1:15" ht="15" thickBot="1">
      <c r="A954" s="6">
        <v>953</v>
      </c>
      <c r="B954" s="1" t="s">
        <v>3107</v>
      </c>
      <c r="C954" s="1" t="s">
        <v>3108</v>
      </c>
      <c r="D954" s="2">
        <v>241070417</v>
      </c>
      <c r="E954" s="1" t="s">
        <v>12</v>
      </c>
      <c r="F954" s="25">
        <v>193107.9</v>
      </c>
      <c r="G954" s="4">
        <v>45558</v>
      </c>
      <c r="H954" s="4">
        <v>42412</v>
      </c>
      <c r="I954" s="1" t="s">
        <v>1374</v>
      </c>
      <c r="J954" s="7" t="s">
        <v>3109</v>
      </c>
      <c r="K954" s="17">
        <v>279</v>
      </c>
      <c r="L954" t="str">
        <f ca="1">+IF(TODAY()-ICETEX[[#This Row],[fecha_ultimo_movimiento]]&gt;360,"Inactivo","Activo")</f>
        <v>Activo</v>
      </c>
      <c r="M954" s="24">
        <f>+VLOOKUP(ICETEX[[#This Row],[fecha_ultimo_movimiento]],UVR!A:B,2,0)</f>
        <v>375.84010000000001</v>
      </c>
      <c r="N954" s="24">
        <v>514</v>
      </c>
      <c r="O954" t="s">
        <v>3264</v>
      </c>
    </row>
    <row r="955" spans="1:15" ht="15" thickBot="1">
      <c r="A955" s="6">
        <v>954</v>
      </c>
      <c r="B955" s="1" t="s">
        <v>3110</v>
      </c>
      <c r="C955" s="1" t="s">
        <v>3111</v>
      </c>
      <c r="D955" s="2">
        <v>64101589</v>
      </c>
      <c r="E955" s="1" t="s">
        <v>45</v>
      </c>
      <c r="F955" s="25">
        <v>167106.5</v>
      </c>
      <c r="G955" s="4">
        <v>45720</v>
      </c>
      <c r="H955" s="4">
        <v>42790</v>
      </c>
      <c r="I955" s="1" t="s">
        <v>3112</v>
      </c>
      <c r="J955" s="7" t="s">
        <v>3113</v>
      </c>
      <c r="K955" s="17">
        <v>117</v>
      </c>
      <c r="L955" t="str">
        <f ca="1">+IF(TODAY()-ICETEX[[#This Row],[fecha_ultimo_movimiento]]&gt;360,"Inactivo","Activo")</f>
        <v>Activo</v>
      </c>
      <c r="M955" s="24">
        <f>+VLOOKUP(ICETEX[[#This Row],[fecha_ultimo_movimiento]],UVR!A:B,2,0)</f>
        <v>381.16269999999997</v>
      </c>
      <c r="N955" s="24">
        <v>438</v>
      </c>
      <c r="O955" t="s">
        <v>3264</v>
      </c>
    </row>
    <row r="956" spans="1:15" ht="15" thickBot="1">
      <c r="A956" s="6">
        <v>955</v>
      </c>
      <c r="B956" s="1" t="s">
        <v>3114</v>
      </c>
      <c r="C956" s="1" t="s">
        <v>3115</v>
      </c>
      <c r="D956" s="2">
        <v>53112686</v>
      </c>
      <c r="E956" s="1" t="s">
        <v>12</v>
      </c>
      <c r="F956" s="25">
        <v>39072.31</v>
      </c>
      <c r="G956" s="4">
        <v>45238</v>
      </c>
      <c r="H956" s="4">
        <v>43090</v>
      </c>
      <c r="I956" s="1" t="s">
        <v>88</v>
      </c>
      <c r="J956" s="7" t="s">
        <v>3116</v>
      </c>
      <c r="K956" s="17">
        <v>599</v>
      </c>
      <c r="L956" t="str">
        <f ca="1">+IF(TODAY()-ICETEX[[#This Row],[fecha_ultimo_movimiento]]&gt;360,"Inactivo","Activo")</f>
        <v>Inactivo</v>
      </c>
      <c r="M956" s="24">
        <f>+VLOOKUP(ICETEX[[#This Row],[fecha_ultimo_movimiento]],UVR!A:B,2,0)</f>
        <v>355.64420000000001</v>
      </c>
      <c r="N956" s="24">
        <v>110</v>
      </c>
      <c r="O956" t="s">
        <v>3265</v>
      </c>
    </row>
    <row r="957" spans="1:15" ht="15" thickBot="1">
      <c r="A957" s="6">
        <v>956</v>
      </c>
      <c r="B957" s="1" t="s">
        <v>3117</v>
      </c>
      <c r="C957" s="1" t="s">
        <v>3118</v>
      </c>
      <c r="D957" s="2">
        <v>104902392</v>
      </c>
      <c r="E957" s="1" t="s">
        <v>45</v>
      </c>
      <c r="F957" s="25">
        <v>120907.2</v>
      </c>
      <c r="G957" s="4">
        <v>44142</v>
      </c>
      <c r="H957" s="4">
        <v>42581</v>
      </c>
      <c r="I957" s="1" t="s">
        <v>1723</v>
      </c>
      <c r="J957" s="7" t="s">
        <v>3119</v>
      </c>
      <c r="K957" s="17">
        <v>1695</v>
      </c>
      <c r="L957" t="str">
        <f ca="1">+IF(TODAY()-ICETEX[[#This Row],[fecha_ultimo_movimiento]]&gt;360,"Inactivo","Activo")</f>
        <v>Inactivo</v>
      </c>
      <c r="M957" s="24">
        <f>+VLOOKUP(ICETEX[[#This Row],[fecha_ultimo_movimiento]],UVR!A:B,2,0)</f>
        <v>275.21409999999997</v>
      </c>
      <c r="N957" s="24">
        <v>439</v>
      </c>
      <c r="O957" t="s">
        <v>3264</v>
      </c>
    </row>
    <row r="958" spans="1:15" ht="15" thickBot="1">
      <c r="A958" s="6">
        <v>957</v>
      </c>
      <c r="B958" s="1" t="s">
        <v>3120</v>
      </c>
      <c r="C958" s="1" t="s">
        <v>3121</v>
      </c>
      <c r="D958" s="2">
        <v>121032232</v>
      </c>
      <c r="E958" s="1" t="s">
        <v>45</v>
      </c>
      <c r="F958" s="25">
        <v>34937.550000000003</v>
      </c>
      <c r="G958" s="4">
        <v>45129</v>
      </c>
      <c r="H958" s="4">
        <v>42379</v>
      </c>
      <c r="I958" s="1" t="s">
        <v>1832</v>
      </c>
      <c r="J958" s="7" t="s">
        <v>3122</v>
      </c>
      <c r="K958" s="17">
        <v>708</v>
      </c>
      <c r="L958" t="str">
        <f ca="1">+IF(TODAY()-ICETEX[[#This Row],[fecha_ultimo_movimiento]]&gt;360,"Inactivo","Activo")</f>
        <v>Inactivo</v>
      </c>
      <c r="M958" s="24">
        <f>+VLOOKUP(ICETEX[[#This Row],[fecha_ultimo_movimiento]],UVR!A:B,2,0)</f>
        <v>349.1422</v>
      </c>
      <c r="N958" s="24">
        <v>100</v>
      </c>
      <c r="O958" t="s">
        <v>3265</v>
      </c>
    </row>
    <row r="959" spans="1:15" ht="15" thickBot="1">
      <c r="A959" s="6">
        <v>958</v>
      </c>
      <c r="B959" s="1" t="s">
        <v>3123</v>
      </c>
      <c r="C959" s="1" t="s">
        <v>3124</v>
      </c>
      <c r="D959" s="2">
        <v>111924363</v>
      </c>
      <c r="E959" s="1" t="s">
        <v>12</v>
      </c>
      <c r="F959" s="25">
        <v>149128.59</v>
      </c>
      <c r="G959" s="4">
        <v>45707</v>
      </c>
      <c r="H959" s="4">
        <v>42498</v>
      </c>
      <c r="I959" s="1" t="s">
        <v>104</v>
      </c>
      <c r="J959" s="7" t="s">
        <v>3125</v>
      </c>
      <c r="K959" s="17">
        <v>130</v>
      </c>
      <c r="L959" t="str">
        <f ca="1">+IF(TODAY()-ICETEX[[#This Row],[fecha_ultimo_movimiento]]&gt;360,"Inactivo","Activo")</f>
        <v>Activo</v>
      </c>
      <c r="M959" s="24">
        <f>+VLOOKUP(ICETEX[[#This Row],[fecha_ultimo_movimiento]],UVR!A:B,2,0)</f>
        <v>379.51049999999998</v>
      </c>
      <c r="N959" s="24">
        <v>393</v>
      </c>
      <c r="O959" t="s">
        <v>3264</v>
      </c>
    </row>
    <row r="960" spans="1:15" ht="15" thickBot="1">
      <c r="A960" s="6">
        <v>959</v>
      </c>
      <c r="B960" s="1" t="s">
        <v>3126</v>
      </c>
      <c r="C960" s="1" t="s">
        <v>3127</v>
      </c>
      <c r="D960" s="2">
        <v>51402589</v>
      </c>
      <c r="E960" s="1" t="s">
        <v>12</v>
      </c>
      <c r="F960" s="25">
        <v>211299.97</v>
      </c>
      <c r="G960" s="4">
        <v>44933</v>
      </c>
      <c r="H960" s="4">
        <v>42754</v>
      </c>
      <c r="I960" s="1" t="s">
        <v>3128</v>
      </c>
      <c r="J960" s="7" t="s">
        <v>3129</v>
      </c>
      <c r="K960" s="17">
        <v>904</v>
      </c>
      <c r="L960" t="str">
        <f ca="1">+IF(TODAY()-ICETEX[[#This Row],[fecha_ultimo_movimiento]]&gt;360,"Inactivo","Activo")</f>
        <v>Inactivo</v>
      </c>
      <c r="M960" s="24">
        <f>+VLOOKUP(ICETEX[[#This Row],[fecha_ultimo_movimiento]],UVR!A:B,2,0)</f>
        <v>324.95569999999998</v>
      </c>
      <c r="N960" s="24">
        <v>650</v>
      </c>
      <c r="O960" t="s">
        <v>3264</v>
      </c>
    </row>
    <row r="961" spans="1:15" ht="15" thickBot="1">
      <c r="A961" s="6">
        <v>960</v>
      </c>
      <c r="B961" s="1" t="s">
        <v>3130</v>
      </c>
      <c r="C961" s="1" t="s">
        <v>3131</v>
      </c>
      <c r="D961" s="2">
        <v>84008853</v>
      </c>
      <c r="E961" s="1" t="s">
        <v>45</v>
      </c>
      <c r="F961" s="25">
        <v>91841.08</v>
      </c>
      <c r="G961" s="4">
        <v>45692</v>
      </c>
      <c r="H961" s="4">
        <v>43140</v>
      </c>
      <c r="I961" s="1" t="s">
        <v>780</v>
      </c>
      <c r="J961" s="7" t="s">
        <v>3132</v>
      </c>
      <c r="K961" s="17">
        <v>145</v>
      </c>
      <c r="L961" t="str">
        <f ca="1">+IF(TODAY()-ICETEX[[#This Row],[fecha_ultimo_movimiento]]&gt;360,"Inactivo","Activo")</f>
        <v>Activo</v>
      </c>
      <c r="M961" s="24">
        <f>+VLOOKUP(ICETEX[[#This Row],[fecha_ultimo_movimiento]],UVR!A:B,2,0)</f>
        <v>378.38690000000003</v>
      </c>
      <c r="N961" s="24">
        <v>243</v>
      </c>
      <c r="O961" t="s">
        <v>3264</v>
      </c>
    </row>
    <row r="962" spans="1:15" ht="15" thickBot="1">
      <c r="A962" s="6">
        <v>961</v>
      </c>
      <c r="B962" s="1" t="s">
        <v>1497</v>
      </c>
      <c r="C962" s="1" t="s">
        <v>3133</v>
      </c>
      <c r="D962" s="2">
        <v>43400036</v>
      </c>
      <c r="E962" s="1" t="s">
        <v>45</v>
      </c>
      <c r="F962" s="25">
        <v>91885.84</v>
      </c>
      <c r="G962" s="4">
        <v>45167</v>
      </c>
      <c r="H962" s="4">
        <v>42957</v>
      </c>
      <c r="I962" s="1" t="s">
        <v>434</v>
      </c>
      <c r="J962" s="7" t="s">
        <v>3134</v>
      </c>
      <c r="K962" s="17">
        <v>670</v>
      </c>
      <c r="L962" t="str">
        <f ca="1">+IF(TODAY()-ICETEX[[#This Row],[fecha_ultimo_movimiento]]&gt;360,"Inactivo","Activo")</f>
        <v>Inactivo</v>
      </c>
      <c r="M962" s="24">
        <f>+VLOOKUP(ICETEX[[#This Row],[fecha_ultimo_movimiento]],UVR!A:B,2,0)</f>
        <v>350.74189999999999</v>
      </c>
      <c r="N962" s="24">
        <v>262</v>
      </c>
      <c r="O962" t="s">
        <v>3265</v>
      </c>
    </row>
    <row r="963" spans="1:15" ht="15" thickBot="1">
      <c r="A963" s="6">
        <v>962</v>
      </c>
      <c r="B963" s="1" t="s">
        <v>3135</v>
      </c>
      <c r="C963" s="1" t="s">
        <v>3136</v>
      </c>
      <c r="D963" s="2">
        <v>103101372</v>
      </c>
      <c r="E963" s="1" t="s">
        <v>12</v>
      </c>
      <c r="F963" s="25">
        <v>164036.64000000001</v>
      </c>
      <c r="G963" s="4">
        <v>45760</v>
      </c>
      <c r="H963" s="4">
        <v>42648</v>
      </c>
      <c r="I963" s="1" t="s">
        <v>3137</v>
      </c>
      <c r="J963" s="7" t="s">
        <v>3138</v>
      </c>
      <c r="K963" s="17">
        <v>77</v>
      </c>
      <c r="L963" t="str">
        <f ca="1">+IF(TODAY()-ICETEX[[#This Row],[fecha_ultimo_movimiento]]&gt;360,"Inactivo","Activo")</f>
        <v>Activo</v>
      </c>
      <c r="M963" s="24">
        <f>+VLOOKUP(ICETEX[[#This Row],[fecha_ultimo_movimiento]],UVR!A:B,2,0)</f>
        <v>386.64460000000003</v>
      </c>
      <c r="N963" s="24">
        <v>424</v>
      </c>
      <c r="O963" t="s">
        <v>3264</v>
      </c>
    </row>
    <row r="964" spans="1:15" ht="15" thickBot="1">
      <c r="A964" s="6">
        <v>963</v>
      </c>
      <c r="B964" s="1" t="s">
        <v>3139</v>
      </c>
      <c r="C964" s="1" t="s">
        <v>3140</v>
      </c>
      <c r="D964" s="2">
        <v>111322457</v>
      </c>
      <c r="E964" s="1" t="s">
        <v>45</v>
      </c>
      <c r="F964" s="25">
        <v>177179.53</v>
      </c>
      <c r="G964" s="4">
        <v>45107</v>
      </c>
      <c r="H964" s="4">
        <v>42476</v>
      </c>
      <c r="I964" s="1" t="s">
        <v>3141</v>
      </c>
      <c r="J964" s="8" t="s">
        <v>3142</v>
      </c>
      <c r="K964" s="17">
        <v>730</v>
      </c>
      <c r="L964" t="str">
        <f ca="1">+IF(TODAY()-ICETEX[[#This Row],[fecha_ultimo_movimiento]]&gt;360,"Inactivo","Activo")</f>
        <v>Inactivo</v>
      </c>
      <c r="M964" s="24">
        <f>+VLOOKUP(ICETEX[[#This Row],[fecha_ultimo_movimiento]],UVR!A:B,2,0)</f>
        <v>348.1583</v>
      </c>
      <c r="N964" s="24">
        <v>509</v>
      </c>
      <c r="O964" t="s">
        <v>3264</v>
      </c>
    </row>
    <row r="965" spans="1:15" ht="15" thickBot="1">
      <c r="A965" s="6">
        <v>964</v>
      </c>
      <c r="B965" s="1" t="s">
        <v>3143</v>
      </c>
      <c r="C965" s="1" t="s">
        <v>3144</v>
      </c>
      <c r="D965" s="2">
        <v>122240340</v>
      </c>
      <c r="E965" s="1" t="s">
        <v>45</v>
      </c>
      <c r="F965" s="25">
        <v>62950.38</v>
      </c>
      <c r="G965" s="4">
        <v>44482</v>
      </c>
      <c r="H965" s="4">
        <v>42803</v>
      </c>
      <c r="I965" s="1" t="s">
        <v>58</v>
      </c>
      <c r="J965" s="7" t="s">
        <v>3145</v>
      </c>
      <c r="K965" s="17">
        <v>1355</v>
      </c>
      <c r="L965" t="str">
        <f ca="1">+IF(TODAY()-ICETEX[[#This Row],[fecha_ultimo_movimiento]]&gt;360,"Inactivo","Activo")</f>
        <v>Inactivo</v>
      </c>
      <c r="M965" s="24">
        <f>+VLOOKUP(ICETEX[[#This Row],[fecha_ultimo_movimiento]],UVR!A:B,2,0)</f>
        <v>286.6728</v>
      </c>
      <c r="N965" s="24">
        <v>220</v>
      </c>
      <c r="O965" t="s">
        <v>3265</v>
      </c>
    </row>
    <row r="966" spans="1:15" ht="15" thickBot="1">
      <c r="A966" s="6">
        <v>965</v>
      </c>
      <c r="B966" s="1" t="s">
        <v>3146</v>
      </c>
      <c r="C966" s="1" t="s">
        <v>3147</v>
      </c>
      <c r="D966" s="2">
        <v>242070791</v>
      </c>
      <c r="E966" s="1" t="s">
        <v>12</v>
      </c>
      <c r="F966" s="25">
        <v>203341.31</v>
      </c>
      <c r="G966" s="4">
        <v>43850</v>
      </c>
      <c r="H966" s="4">
        <v>42975</v>
      </c>
      <c r="I966" s="1" t="s">
        <v>131</v>
      </c>
      <c r="J966" s="7" t="s">
        <v>3148</v>
      </c>
      <c r="K966" s="17">
        <v>1987</v>
      </c>
      <c r="L966" t="str">
        <f ca="1">+IF(TODAY()-ICETEX[[#This Row],[fecha_ultimo_movimiento]]&gt;360,"Inactivo","Activo")</f>
        <v>Inactivo</v>
      </c>
      <c r="M966" s="24">
        <f>+VLOOKUP(ICETEX[[#This Row],[fecha_ultimo_movimiento]],UVR!A:B,2,0)</f>
        <v>270.95769999999999</v>
      </c>
      <c r="N966" s="24">
        <v>750</v>
      </c>
      <c r="O966" t="s">
        <v>3264</v>
      </c>
    </row>
    <row r="967" spans="1:15" ht="15" thickBot="1">
      <c r="A967" s="6">
        <v>966</v>
      </c>
      <c r="B967" s="1" t="s">
        <v>3149</v>
      </c>
      <c r="C967" s="1" t="s">
        <v>3150</v>
      </c>
      <c r="D967" s="2">
        <v>101019521</v>
      </c>
      <c r="E967" s="1" t="s">
        <v>45</v>
      </c>
      <c r="F967" s="25">
        <v>130414.16</v>
      </c>
      <c r="G967" s="4">
        <v>44721</v>
      </c>
      <c r="H967" s="4">
        <v>42829</v>
      </c>
      <c r="I967" s="1" t="s">
        <v>471</v>
      </c>
      <c r="J967" s="7" t="s">
        <v>3151</v>
      </c>
      <c r="K967" s="17">
        <v>1116</v>
      </c>
      <c r="L967" t="str">
        <f ca="1">+IF(TODAY()-ICETEX[[#This Row],[fecha_ultimo_movimiento]]&gt;360,"Inactivo","Activo")</f>
        <v>Inactivo</v>
      </c>
      <c r="M967" s="24">
        <f>+VLOOKUP(ICETEX[[#This Row],[fecha_ultimo_movimiento]],UVR!A:B,2,0)</f>
        <v>307.19850000000002</v>
      </c>
      <c r="N967" s="24">
        <v>425</v>
      </c>
      <c r="O967" t="s">
        <v>3264</v>
      </c>
    </row>
    <row r="968" spans="1:15" ht="15" thickBot="1">
      <c r="A968" s="6">
        <v>967</v>
      </c>
      <c r="B968" s="1" t="s">
        <v>3152</v>
      </c>
      <c r="C968" s="1" t="s">
        <v>3153</v>
      </c>
      <c r="D968" s="2">
        <v>262287218</v>
      </c>
      <c r="E968" s="1" t="s">
        <v>45</v>
      </c>
      <c r="F968" s="25">
        <v>25018.47</v>
      </c>
      <c r="G968" s="4">
        <v>43856</v>
      </c>
      <c r="H968" s="4">
        <v>42381</v>
      </c>
      <c r="I968" s="1" t="s">
        <v>3154</v>
      </c>
      <c r="J968" s="7" t="s">
        <v>3155</v>
      </c>
      <c r="K968" s="17">
        <v>1981</v>
      </c>
      <c r="L968" t="str">
        <f ca="1">+IF(TODAY()-ICETEX[[#This Row],[fecha_ultimo_movimiento]]&gt;360,"Inactivo","Activo")</f>
        <v>Inactivo</v>
      </c>
      <c r="M968" s="24">
        <f>+VLOOKUP(ICETEX[[#This Row],[fecha_ultimo_movimiento]],UVR!A:B,2,0)</f>
        <v>271.09390000000002</v>
      </c>
      <c r="N968" s="24">
        <v>92</v>
      </c>
      <c r="O968" t="s">
        <v>3265</v>
      </c>
    </row>
    <row r="969" spans="1:15" ht="15" thickBot="1">
      <c r="A969" s="6">
        <v>968</v>
      </c>
      <c r="B969" s="1" t="s">
        <v>3156</v>
      </c>
      <c r="C969" s="1" t="s">
        <v>3157</v>
      </c>
      <c r="D969" s="2">
        <v>103110428</v>
      </c>
      <c r="E969" s="1" t="s">
        <v>45</v>
      </c>
      <c r="F969" s="25">
        <v>213098.25</v>
      </c>
      <c r="G969" s="4">
        <v>45656</v>
      </c>
      <c r="H969" s="4">
        <v>43098</v>
      </c>
      <c r="I969" s="1" t="s">
        <v>3158</v>
      </c>
      <c r="J969" s="7" t="s">
        <v>3159</v>
      </c>
      <c r="K969" s="17">
        <v>181</v>
      </c>
      <c r="L969" t="str">
        <f ca="1">+IF(TODAY()-ICETEX[[#This Row],[fecha_ultimo_movimiento]]&gt;360,"Inactivo","Activo")</f>
        <v>Activo</v>
      </c>
      <c r="M969" s="24">
        <f>+VLOOKUP(ICETEX[[#This Row],[fecha_ultimo_movimiento]],UVR!A:B,2,0)</f>
        <v>376.74349999999998</v>
      </c>
      <c r="N969" s="24">
        <v>566</v>
      </c>
      <c r="O969" t="s">
        <v>3264</v>
      </c>
    </row>
    <row r="970" spans="1:15" ht="15" thickBot="1">
      <c r="A970" s="6">
        <v>969</v>
      </c>
      <c r="B970" s="1" t="s">
        <v>3160</v>
      </c>
      <c r="C970" s="1" t="s">
        <v>3161</v>
      </c>
      <c r="D970" s="2">
        <v>65303069</v>
      </c>
      <c r="E970" s="1" t="s">
        <v>12</v>
      </c>
      <c r="F970" s="25">
        <v>40851.129999999997</v>
      </c>
      <c r="G970" s="4">
        <v>44540</v>
      </c>
      <c r="H970" s="4">
        <v>42869</v>
      </c>
      <c r="I970" s="1" t="s">
        <v>718</v>
      </c>
      <c r="J970" s="7" t="s">
        <v>1542</v>
      </c>
      <c r="K970" s="17">
        <v>1297</v>
      </c>
      <c r="L970" t="str">
        <f ca="1">+IF(TODAY()-ICETEX[[#This Row],[fecha_ultimo_movimiento]]&gt;360,"Inactivo","Activo")</f>
        <v>Inactivo</v>
      </c>
      <c r="M970" s="24">
        <f>+VLOOKUP(ICETEX[[#This Row],[fecha_ultimo_movimiento]],UVR!A:B,2,0)</f>
        <v>287.8723</v>
      </c>
      <c r="N970" s="24">
        <v>142</v>
      </c>
      <c r="O970" t="s">
        <v>3265</v>
      </c>
    </row>
    <row r="971" spans="1:15" ht="15" thickBot="1">
      <c r="A971" s="6">
        <v>970</v>
      </c>
      <c r="B971" s="1" t="s">
        <v>3162</v>
      </c>
      <c r="C971" s="1" t="s">
        <v>3163</v>
      </c>
      <c r="D971" s="2">
        <v>111025084</v>
      </c>
      <c r="E971" s="1" t="s">
        <v>12</v>
      </c>
      <c r="F971" s="25">
        <v>34838.53</v>
      </c>
      <c r="G971" s="4">
        <v>45803</v>
      </c>
      <c r="H971" s="4">
        <v>42576</v>
      </c>
      <c r="I971" s="1" t="s">
        <v>947</v>
      </c>
      <c r="J971" s="7" t="s">
        <v>3164</v>
      </c>
      <c r="K971" s="17">
        <v>34</v>
      </c>
      <c r="L971" t="str">
        <f ca="1">+IF(TODAY()-ICETEX[[#This Row],[fecha_ultimo_movimiento]]&gt;360,"Inactivo","Activo")</f>
        <v>Activo</v>
      </c>
      <c r="M971" s="24">
        <f>+VLOOKUP(ICETEX[[#This Row],[fecha_ultimo_movimiento]],UVR!A:B,2,0)</f>
        <v>389.84840000000003</v>
      </c>
      <c r="N971" s="24">
        <v>89</v>
      </c>
      <c r="O971" t="s">
        <v>3264</v>
      </c>
    </row>
    <row r="972" spans="1:15" ht="15" thickBot="1">
      <c r="A972" s="6">
        <v>971</v>
      </c>
      <c r="B972" s="1" t="s">
        <v>3165</v>
      </c>
      <c r="C972" s="1" t="s">
        <v>3166</v>
      </c>
      <c r="D972" s="2">
        <v>72414255</v>
      </c>
      <c r="E972" s="1" t="s">
        <v>12</v>
      </c>
      <c r="F972" s="25">
        <v>45706.65</v>
      </c>
      <c r="G972" s="4">
        <v>45594</v>
      </c>
      <c r="H972" s="4">
        <v>42721</v>
      </c>
      <c r="I972" s="1" t="s">
        <v>270</v>
      </c>
      <c r="J972" s="7" t="s">
        <v>3167</v>
      </c>
      <c r="K972" s="17">
        <v>243</v>
      </c>
      <c r="L972" t="str">
        <f ca="1">+IF(TODAY()-ICETEX[[#This Row],[fecha_ultimo_movimiento]]&gt;360,"Inactivo","Activo")</f>
        <v>Activo</v>
      </c>
      <c r="M972" s="24">
        <f>+VLOOKUP(ICETEX[[#This Row],[fecha_ultimo_movimiento]],UVR!A:B,2,0)</f>
        <v>376.24720000000002</v>
      </c>
      <c r="N972" s="24">
        <v>121</v>
      </c>
      <c r="O972" t="s">
        <v>3264</v>
      </c>
    </row>
    <row r="973" spans="1:15" ht="15" thickBot="1">
      <c r="A973" s="6">
        <v>972</v>
      </c>
      <c r="B973" s="1" t="s">
        <v>3168</v>
      </c>
      <c r="C973" s="1" t="s">
        <v>3169</v>
      </c>
      <c r="D973" s="2">
        <v>101100265</v>
      </c>
      <c r="E973" s="1" t="s">
        <v>12</v>
      </c>
      <c r="F973" s="25">
        <v>149843.12</v>
      </c>
      <c r="G973" s="4">
        <v>44584</v>
      </c>
      <c r="H973" s="4">
        <v>42955</v>
      </c>
      <c r="I973" s="1" t="s">
        <v>127</v>
      </c>
      <c r="J973" s="7" t="s">
        <v>3170</v>
      </c>
      <c r="K973" s="17">
        <v>1253</v>
      </c>
      <c r="L973" t="str">
        <f ca="1">+IF(TODAY()-ICETEX[[#This Row],[fecha_ultimo_movimiento]]&gt;360,"Inactivo","Activo")</f>
        <v>Inactivo</v>
      </c>
      <c r="M973" s="24">
        <f>+VLOOKUP(ICETEX[[#This Row],[fecha_ultimo_movimiento]],UVR!A:B,2,0)</f>
        <v>289.86009999999999</v>
      </c>
      <c r="N973" s="24">
        <v>517</v>
      </c>
      <c r="O973" t="s">
        <v>3264</v>
      </c>
    </row>
    <row r="974" spans="1:15" ht="15" thickBot="1">
      <c r="A974" s="6">
        <v>973</v>
      </c>
      <c r="B974" s="1" t="s">
        <v>3171</v>
      </c>
      <c r="C974" s="1" t="s">
        <v>3172</v>
      </c>
      <c r="D974" s="2">
        <v>243373222</v>
      </c>
      <c r="E974" s="1" t="s">
        <v>45</v>
      </c>
      <c r="F974" s="25">
        <v>75369.490000000005</v>
      </c>
      <c r="G974" s="4">
        <v>43903</v>
      </c>
      <c r="H974" s="4">
        <v>42411</v>
      </c>
      <c r="I974" s="1" t="s">
        <v>434</v>
      </c>
      <c r="J974" s="7" t="s">
        <v>3173</v>
      </c>
      <c r="K974" s="17">
        <v>1934</v>
      </c>
      <c r="L974" t="str">
        <f ca="1">+IF(TODAY()-ICETEX[[#This Row],[fecha_ultimo_movimiento]]&gt;360,"Inactivo","Activo")</f>
        <v>Inactivo</v>
      </c>
      <c r="M974" s="24">
        <f>+VLOOKUP(ICETEX[[#This Row],[fecha_ultimo_movimiento]],UVR!A:B,2,0)</f>
        <v>272.61009999999999</v>
      </c>
      <c r="N974" s="24">
        <v>276</v>
      </c>
      <c r="O974" t="s">
        <v>3265</v>
      </c>
    </row>
    <row r="975" spans="1:15" ht="15" thickBot="1">
      <c r="A975" s="6">
        <v>974</v>
      </c>
      <c r="B975" s="1" t="s">
        <v>756</v>
      </c>
      <c r="C975" s="1" t="s">
        <v>3174</v>
      </c>
      <c r="D975" s="2">
        <v>31901482</v>
      </c>
      <c r="E975" s="1" t="s">
        <v>12</v>
      </c>
      <c r="F975" s="25">
        <v>211901.52</v>
      </c>
      <c r="G975" s="4">
        <v>44770</v>
      </c>
      <c r="H975" s="4">
        <v>43037</v>
      </c>
      <c r="I975" s="1" t="s">
        <v>151</v>
      </c>
      <c r="J975" s="7" t="s">
        <v>3175</v>
      </c>
      <c r="K975" s="17">
        <v>1067</v>
      </c>
      <c r="L975" t="str">
        <f ca="1">+IF(TODAY()-ICETEX[[#This Row],[fecha_ultimo_movimiento]]&gt;360,"Inactivo","Activo")</f>
        <v>Inactivo</v>
      </c>
      <c r="M975" s="24">
        <f>+VLOOKUP(ICETEX[[#This Row],[fecha_ultimo_movimiento]],UVR!A:B,2,0)</f>
        <v>311.18779999999998</v>
      </c>
      <c r="N975" s="24">
        <v>681</v>
      </c>
      <c r="O975" t="s">
        <v>3264</v>
      </c>
    </row>
    <row r="976" spans="1:15" ht="15" thickBot="1">
      <c r="A976" s="6">
        <v>975</v>
      </c>
      <c r="B976" s="1" t="s">
        <v>3176</v>
      </c>
      <c r="C976" s="1" t="s">
        <v>3177</v>
      </c>
      <c r="D976" s="2">
        <v>61204612</v>
      </c>
      <c r="E976" s="1" t="s">
        <v>12</v>
      </c>
      <c r="F976" s="25">
        <v>72717.61</v>
      </c>
      <c r="G976" s="4">
        <v>45478</v>
      </c>
      <c r="H976" s="4">
        <v>42432</v>
      </c>
      <c r="I976" s="1" t="s">
        <v>401</v>
      </c>
      <c r="J976" s="7" t="s">
        <v>3178</v>
      </c>
      <c r="K976" s="17">
        <v>359</v>
      </c>
      <c r="L976" t="str">
        <f ca="1">+IF(TODAY()-ICETEX[[#This Row],[fecha_ultimo_movimiento]]&gt;360,"Inactivo","Activo")</f>
        <v>Activo</v>
      </c>
      <c r="M976" s="24">
        <f>+VLOOKUP(ICETEX[[#This Row],[fecha_ultimo_movimiento]],UVR!A:B,2,0)</f>
        <v>373.35899999999998</v>
      </c>
      <c r="N976" s="24">
        <v>195</v>
      </c>
      <c r="O976" t="s">
        <v>3264</v>
      </c>
    </row>
    <row r="977" spans="1:15" ht="15" thickBot="1">
      <c r="A977" s="6">
        <v>976</v>
      </c>
      <c r="B977" s="1" t="s">
        <v>3179</v>
      </c>
      <c r="C977" s="1" t="s">
        <v>3180</v>
      </c>
      <c r="D977" s="2">
        <v>82901855</v>
      </c>
      <c r="E977" s="1" t="s">
        <v>45</v>
      </c>
      <c r="F977" s="25">
        <v>57239.35</v>
      </c>
      <c r="G977" s="4">
        <v>45559</v>
      </c>
      <c r="H977" s="4">
        <v>43153</v>
      </c>
      <c r="I977" s="1" t="s">
        <v>1351</v>
      </c>
      <c r="J977" s="7" t="s">
        <v>3181</v>
      </c>
      <c r="K977" s="17">
        <v>278</v>
      </c>
      <c r="L977" t="str">
        <f ca="1">+IF(TODAY()-ICETEX[[#This Row],[fecha_ultimo_movimiento]]&gt;360,"Inactivo","Activo")</f>
        <v>Activo</v>
      </c>
      <c r="M977" s="24">
        <f>+VLOOKUP(ICETEX[[#This Row],[fecha_ultimo_movimiento]],UVR!A:B,2,0)</f>
        <v>375.84010000000001</v>
      </c>
      <c r="N977" s="24">
        <v>152</v>
      </c>
      <c r="O977" t="s">
        <v>3264</v>
      </c>
    </row>
    <row r="978" spans="1:15" ht="15" thickBot="1">
      <c r="A978" s="6">
        <v>977</v>
      </c>
      <c r="B978" s="1" t="s">
        <v>3182</v>
      </c>
      <c r="C978" s="1" t="s">
        <v>3183</v>
      </c>
      <c r="D978" s="2">
        <v>121132682</v>
      </c>
      <c r="E978" s="1" t="s">
        <v>45</v>
      </c>
      <c r="F978" s="25">
        <v>171884.12</v>
      </c>
      <c r="G978" s="4">
        <v>43900</v>
      </c>
      <c r="H978" s="4">
        <v>42469</v>
      </c>
      <c r="I978" s="1" t="s">
        <v>1832</v>
      </c>
      <c r="J978" s="7" t="s">
        <v>3184</v>
      </c>
      <c r="K978" s="17">
        <v>1937</v>
      </c>
      <c r="L978" t="str">
        <f ca="1">+IF(TODAY()-ICETEX[[#This Row],[fecha_ultimo_movimiento]]&gt;360,"Inactivo","Activo")</f>
        <v>Inactivo</v>
      </c>
      <c r="M978" s="24">
        <f>+VLOOKUP(ICETEX[[#This Row],[fecha_ultimo_movimiento]],UVR!A:B,2,0)</f>
        <v>272.49189999999999</v>
      </c>
      <c r="N978" s="24">
        <v>631</v>
      </c>
      <c r="O978" t="s">
        <v>3264</v>
      </c>
    </row>
    <row r="979" spans="1:15" ht="15" thickBot="1">
      <c r="A979" s="6">
        <v>978</v>
      </c>
      <c r="B979" s="1" t="s">
        <v>3185</v>
      </c>
      <c r="C979" s="1" t="s">
        <v>3186</v>
      </c>
      <c r="D979" s="2">
        <v>42103460</v>
      </c>
      <c r="E979" s="1" t="s">
        <v>12</v>
      </c>
      <c r="F979" s="25">
        <v>107733.49</v>
      </c>
      <c r="G979" s="4">
        <v>45061</v>
      </c>
      <c r="H979" s="4">
        <v>42813</v>
      </c>
      <c r="I979" s="1" t="s">
        <v>3187</v>
      </c>
      <c r="J979" s="7" t="s">
        <v>3188</v>
      </c>
      <c r="K979" s="17">
        <v>776</v>
      </c>
      <c r="L979" t="str">
        <f ca="1">+IF(TODAY()-ICETEX[[#This Row],[fecha_ultimo_movimiento]]&gt;360,"Inactivo","Activo")</f>
        <v>Inactivo</v>
      </c>
      <c r="M979" s="24">
        <f>+VLOOKUP(ICETEX[[#This Row],[fecha_ultimo_movimiento]],UVR!A:B,2,0)</f>
        <v>344.72340000000003</v>
      </c>
      <c r="N979" s="24">
        <v>313</v>
      </c>
      <c r="O979" t="s">
        <v>3265</v>
      </c>
    </row>
    <row r="980" spans="1:15" ht="15" thickBot="1">
      <c r="A980" s="6">
        <v>979</v>
      </c>
      <c r="B980" s="1" t="s">
        <v>3189</v>
      </c>
      <c r="C980" s="1" t="s">
        <v>3190</v>
      </c>
      <c r="D980" s="2">
        <v>57000697</v>
      </c>
      <c r="E980" s="1" t="s">
        <v>45</v>
      </c>
      <c r="F980" s="25">
        <v>185564.63</v>
      </c>
      <c r="G980" s="4">
        <v>44312</v>
      </c>
      <c r="H980" s="4">
        <v>42485</v>
      </c>
      <c r="I980" s="1" t="s">
        <v>1014</v>
      </c>
      <c r="J980" s="7" t="s">
        <v>3191</v>
      </c>
      <c r="K980" s="17">
        <v>1525</v>
      </c>
      <c r="L980" t="str">
        <f ca="1">+IF(TODAY()-ICETEX[[#This Row],[fecha_ultimo_movimiento]]&gt;360,"Inactivo","Activo")</f>
        <v>Inactivo</v>
      </c>
      <c r="M980" s="24">
        <f>+VLOOKUP(ICETEX[[#This Row],[fecha_ultimo_movimiento]],UVR!A:B,2,0)</f>
        <v>279.33210000000003</v>
      </c>
      <c r="N980" s="24">
        <v>664</v>
      </c>
      <c r="O980" t="s">
        <v>3264</v>
      </c>
    </row>
    <row r="981" spans="1:15" ht="15" thickBot="1">
      <c r="A981" s="6">
        <v>980</v>
      </c>
      <c r="B981" s="1" t="s">
        <v>3192</v>
      </c>
      <c r="C981" s="1" t="s">
        <v>3193</v>
      </c>
      <c r="D981" s="2">
        <v>107001067</v>
      </c>
      <c r="E981" s="1" t="s">
        <v>12</v>
      </c>
      <c r="F981" s="25">
        <v>158505.28</v>
      </c>
      <c r="G981" s="4">
        <v>44394</v>
      </c>
      <c r="H981" s="4">
        <v>42445</v>
      </c>
      <c r="I981" s="1" t="s">
        <v>471</v>
      </c>
      <c r="J981" s="7" t="s">
        <v>3194</v>
      </c>
      <c r="K981" s="17">
        <v>1443</v>
      </c>
      <c r="L981" t="str">
        <f ca="1">+IF(TODAY()-ICETEX[[#This Row],[fecha_ultimo_movimiento]]&gt;360,"Inactivo","Activo")</f>
        <v>Inactivo</v>
      </c>
      <c r="M981" s="24">
        <f>+VLOOKUP(ICETEX[[#This Row],[fecha_ultimo_movimiento]],UVR!A:B,2,0)</f>
        <v>284.69659999999999</v>
      </c>
      <c r="N981" s="24">
        <v>557</v>
      </c>
      <c r="O981" t="s">
        <v>3264</v>
      </c>
    </row>
    <row r="982" spans="1:15" ht="15" thickBot="1">
      <c r="A982" s="6">
        <v>981</v>
      </c>
      <c r="B982" s="1" t="s">
        <v>3195</v>
      </c>
      <c r="C982" s="1" t="s">
        <v>3196</v>
      </c>
      <c r="D982" s="2">
        <v>63104972</v>
      </c>
      <c r="E982" s="1" t="s">
        <v>12</v>
      </c>
      <c r="F982" s="25">
        <v>124600.46</v>
      </c>
      <c r="G982" s="4">
        <v>44432</v>
      </c>
      <c r="H982" s="4">
        <v>43195</v>
      </c>
      <c r="I982" s="1" t="s">
        <v>13</v>
      </c>
      <c r="J982" s="7" t="s">
        <v>3197</v>
      </c>
      <c r="K982" s="17">
        <v>1405</v>
      </c>
      <c r="L982" t="str">
        <f ca="1">+IF(TODAY()-ICETEX[[#This Row],[fecha_ultimo_movimiento]]&gt;360,"Inactivo","Activo")</f>
        <v>Inactivo</v>
      </c>
      <c r="M982" s="24">
        <f>+VLOOKUP(ICETEX[[#This Row],[fecha_ultimo_movimiento]],UVR!A:B,2,0)</f>
        <v>284.82749999999999</v>
      </c>
      <c r="N982" s="24">
        <v>437</v>
      </c>
      <c r="O982" t="s">
        <v>3264</v>
      </c>
    </row>
    <row r="983" spans="1:15" ht="15" thickBot="1">
      <c r="A983" s="6">
        <v>982</v>
      </c>
      <c r="B983" s="1" t="s">
        <v>3198</v>
      </c>
      <c r="C983" s="1" t="s">
        <v>3199</v>
      </c>
      <c r="D983" s="2">
        <v>61119901</v>
      </c>
      <c r="E983" s="1" t="s">
        <v>45</v>
      </c>
      <c r="F983" s="25">
        <v>164915.66</v>
      </c>
      <c r="G983" s="4">
        <v>44049</v>
      </c>
      <c r="H983" s="4">
        <v>42567</v>
      </c>
      <c r="I983" s="1" t="s">
        <v>1252</v>
      </c>
      <c r="J983" s="7" t="s">
        <v>3200</v>
      </c>
      <c r="K983" s="17">
        <v>1788</v>
      </c>
      <c r="L983" t="str">
        <f ca="1">+IF(TODAY()-ICETEX[[#This Row],[fecha_ultimo_movimiento]]&gt;360,"Inactivo","Activo")</f>
        <v>Inactivo</v>
      </c>
      <c r="M983" s="24">
        <f>+VLOOKUP(ICETEX[[#This Row],[fecha_ultimo_movimiento]],UVR!A:B,2,0)</f>
        <v>274.89370000000002</v>
      </c>
      <c r="N983" s="24">
        <v>600</v>
      </c>
      <c r="O983" t="s">
        <v>3264</v>
      </c>
    </row>
    <row r="984" spans="1:15" ht="15" thickBot="1">
      <c r="A984" s="6">
        <v>983</v>
      </c>
      <c r="B984" s="1" t="s">
        <v>3201</v>
      </c>
      <c r="C984" s="1" t="s">
        <v>3202</v>
      </c>
      <c r="D984" s="2">
        <v>102101548</v>
      </c>
      <c r="E984" s="1" t="s">
        <v>45</v>
      </c>
      <c r="F984" s="25">
        <v>75178.8</v>
      </c>
      <c r="G984" s="4">
        <v>44925</v>
      </c>
      <c r="H984" s="4">
        <v>43223</v>
      </c>
      <c r="I984" s="1" t="s">
        <v>1006</v>
      </c>
      <c r="J984" s="7" t="s">
        <v>3203</v>
      </c>
      <c r="K984" s="17">
        <v>912</v>
      </c>
      <c r="L984" t="str">
        <f ca="1">+IF(TODAY()-ICETEX[[#This Row],[fecha_ultimo_movimiento]]&gt;360,"Inactivo","Activo")</f>
        <v>Inactivo</v>
      </c>
      <c r="M984" s="24">
        <f>+VLOOKUP(ICETEX[[#This Row],[fecha_ultimo_movimiento]],UVR!A:B,2,0)</f>
        <v>324.31310000000002</v>
      </c>
      <c r="N984" s="24">
        <v>232</v>
      </c>
      <c r="O984" t="s">
        <v>3265</v>
      </c>
    </row>
    <row r="985" spans="1:15" ht="26.5" thickBot="1">
      <c r="A985" s="6">
        <v>984</v>
      </c>
      <c r="B985" s="1" t="s">
        <v>3204</v>
      </c>
      <c r="C985" s="1" t="s">
        <v>3205</v>
      </c>
      <c r="D985" s="2">
        <v>81503102</v>
      </c>
      <c r="E985" s="1" t="s">
        <v>12</v>
      </c>
      <c r="F985" s="25">
        <v>152279.1</v>
      </c>
      <c r="G985" s="4">
        <v>45228</v>
      </c>
      <c r="H985" s="4">
        <v>43239</v>
      </c>
      <c r="I985" s="1" t="s">
        <v>3206</v>
      </c>
      <c r="J985" s="7" t="s">
        <v>3207</v>
      </c>
      <c r="K985" s="17">
        <v>609</v>
      </c>
      <c r="L985" t="str">
        <f ca="1">+IF(TODAY()-ICETEX[[#This Row],[fecha_ultimo_movimiento]]&gt;360,"Inactivo","Activo")</f>
        <v>Inactivo</v>
      </c>
      <c r="M985" s="24">
        <f>+VLOOKUP(ICETEX[[#This Row],[fecha_ultimo_movimiento]],UVR!A:B,2,0)</f>
        <v>355.02690000000001</v>
      </c>
      <c r="N985" s="24">
        <v>429</v>
      </c>
      <c r="O985" t="s">
        <v>3264</v>
      </c>
    </row>
    <row r="986" spans="1:15" ht="15" thickBot="1">
      <c r="A986" s="6">
        <v>985</v>
      </c>
      <c r="B986" s="1" t="s">
        <v>294</v>
      </c>
      <c r="C986" s="1" t="s">
        <v>3208</v>
      </c>
      <c r="D986" s="2">
        <v>75906702</v>
      </c>
      <c r="E986" s="1" t="s">
        <v>45</v>
      </c>
      <c r="F986" s="25">
        <v>28915.96</v>
      </c>
      <c r="G986" s="4">
        <v>45436</v>
      </c>
      <c r="H986" s="4">
        <v>42499</v>
      </c>
      <c r="I986" s="1" t="s">
        <v>3209</v>
      </c>
      <c r="J986" s="7" t="s">
        <v>3210</v>
      </c>
      <c r="K986" s="17">
        <v>401</v>
      </c>
      <c r="L986" t="str">
        <f ca="1">+IF(TODAY()-ICETEX[[#This Row],[fecha_ultimo_movimiento]]&gt;360,"Inactivo","Activo")</f>
        <v>Inactivo</v>
      </c>
      <c r="M986" s="24">
        <f>+VLOOKUP(ICETEX[[#This Row],[fecha_ultimo_movimiento]],UVR!A:B,2,0)</f>
        <v>370.74149999999997</v>
      </c>
      <c r="N986" s="24">
        <v>78</v>
      </c>
      <c r="O986" t="s">
        <v>3265</v>
      </c>
    </row>
    <row r="987" spans="1:15" ht="15" thickBot="1">
      <c r="A987" s="6">
        <v>986</v>
      </c>
      <c r="B987" s="1" t="s">
        <v>3211</v>
      </c>
      <c r="C987" s="1" t="s">
        <v>3212</v>
      </c>
      <c r="D987" s="2">
        <v>231372439</v>
      </c>
      <c r="E987" s="1" t="s">
        <v>45</v>
      </c>
      <c r="F987" s="25">
        <v>162849.26999999999</v>
      </c>
      <c r="G987" s="4">
        <v>44296</v>
      </c>
      <c r="H987" s="4">
        <v>42463</v>
      </c>
      <c r="I987" s="1" t="s">
        <v>213</v>
      </c>
      <c r="J987" s="7" t="s">
        <v>3213</v>
      </c>
      <c r="K987" s="17">
        <v>1541</v>
      </c>
      <c r="L987" t="str">
        <f ca="1">+IF(TODAY()-ICETEX[[#This Row],[fecha_ultimo_movimiento]]&gt;360,"Inactivo","Activo")</f>
        <v>Inactivo</v>
      </c>
      <c r="M987" s="24">
        <f>+VLOOKUP(ICETEX[[#This Row],[fecha_ultimo_movimiento]],UVR!A:B,2,0)</f>
        <v>278.5249</v>
      </c>
      <c r="N987" s="24">
        <v>585</v>
      </c>
      <c r="O987" t="s">
        <v>3264</v>
      </c>
    </row>
    <row r="988" spans="1:15" ht="26.5" thickBot="1">
      <c r="A988" s="6">
        <v>987</v>
      </c>
      <c r="B988" s="1" t="s">
        <v>3214</v>
      </c>
      <c r="C988" s="1" t="s">
        <v>3215</v>
      </c>
      <c r="D988" s="2">
        <v>322270262</v>
      </c>
      <c r="E988" s="1" t="s">
        <v>12</v>
      </c>
      <c r="F988" s="25">
        <v>149377.72</v>
      </c>
      <c r="G988" s="4">
        <v>45045</v>
      </c>
      <c r="H988" s="4">
        <v>42787</v>
      </c>
      <c r="I988" s="1" t="s">
        <v>357</v>
      </c>
      <c r="J988" s="7" t="s">
        <v>3216</v>
      </c>
      <c r="K988" s="17">
        <v>792</v>
      </c>
      <c r="L988" t="str">
        <f ca="1">+IF(TODAY()-ICETEX[[#This Row],[fecha_ultimo_movimiento]]&gt;360,"Inactivo","Activo")</f>
        <v>Inactivo</v>
      </c>
      <c r="M988" s="24">
        <f>+VLOOKUP(ICETEX[[#This Row],[fecha_ultimo_movimiento]],UVR!A:B,2,0)</f>
        <v>342.80829999999997</v>
      </c>
      <c r="N988" s="24">
        <v>436</v>
      </c>
      <c r="O988" t="s">
        <v>3264</v>
      </c>
    </row>
    <row r="989" spans="1:15" ht="15" thickBot="1">
      <c r="A989" s="6">
        <v>988</v>
      </c>
      <c r="B989" s="1" t="s">
        <v>3217</v>
      </c>
      <c r="C989" s="1" t="s">
        <v>3218</v>
      </c>
      <c r="D989" s="2">
        <v>111300945</v>
      </c>
      <c r="E989" s="1" t="s">
        <v>45</v>
      </c>
      <c r="F989" s="25">
        <v>177912.62</v>
      </c>
      <c r="G989" s="4">
        <v>44094</v>
      </c>
      <c r="H989" s="4">
        <v>43071</v>
      </c>
      <c r="I989" s="1" t="s">
        <v>762</v>
      </c>
      <c r="J989" s="7" t="s">
        <v>3219</v>
      </c>
      <c r="K989" s="17">
        <v>1743</v>
      </c>
      <c r="L989" t="str">
        <f ca="1">+IF(TODAY()-ICETEX[[#This Row],[fecha_ultimo_movimiento]]&gt;360,"Inactivo","Activo")</f>
        <v>Inactivo</v>
      </c>
      <c r="M989" s="24">
        <f>+VLOOKUP(ICETEX[[#This Row],[fecha_ultimo_movimiento]],UVR!A:B,2,0)</f>
        <v>274.58539999999999</v>
      </c>
      <c r="N989" s="24">
        <v>648</v>
      </c>
      <c r="O989" t="s">
        <v>3264</v>
      </c>
    </row>
    <row r="990" spans="1:15" ht="15" thickBot="1">
      <c r="A990" s="6">
        <v>989</v>
      </c>
      <c r="B990" s="1" t="s">
        <v>3220</v>
      </c>
      <c r="C990" s="1" t="s">
        <v>3221</v>
      </c>
      <c r="D990" s="2">
        <v>43318814</v>
      </c>
      <c r="E990" s="1" t="s">
        <v>12</v>
      </c>
      <c r="F990" s="25">
        <v>70170.95</v>
      </c>
      <c r="G990" s="4">
        <v>45526</v>
      </c>
      <c r="H990" s="4">
        <v>42972</v>
      </c>
      <c r="I990" s="1" t="s">
        <v>745</v>
      </c>
      <c r="J990" s="7" t="s">
        <v>3222</v>
      </c>
      <c r="K990" s="17">
        <v>311</v>
      </c>
      <c r="L990" t="str">
        <f ca="1">+IF(TODAY()-ICETEX[[#This Row],[fecha_ultimo_movimiento]]&gt;360,"Inactivo","Activo")</f>
        <v>Activo</v>
      </c>
      <c r="M990" s="24">
        <f>+VLOOKUP(ICETEX[[#This Row],[fecha_ultimo_movimiento]],UVR!A:B,2,0)</f>
        <v>375.25920000000002</v>
      </c>
      <c r="N990" s="24">
        <v>187</v>
      </c>
      <c r="O990" t="s">
        <v>3264</v>
      </c>
    </row>
    <row r="991" spans="1:15" ht="15" thickBot="1">
      <c r="A991" s="6">
        <v>990</v>
      </c>
      <c r="B991" s="1" t="s">
        <v>3223</v>
      </c>
      <c r="C991" s="1" t="s">
        <v>1693</v>
      </c>
      <c r="D991" s="2">
        <v>84107893</v>
      </c>
      <c r="E991" s="1" t="s">
        <v>12</v>
      </c>
      <c r="F991" s="25">
        <v>17097.48</v>
      </c>
      <c r="G991" s="4">
        <v>43927</v>
      </c>
      <c r="H991" s="4">
        <v>43068</v>
      </c>
      <c r="I991" s="1" t="s">
        <v>780</v>
      </c>
      <c r="J991" s="7" t="s">
        <v>3224</v>
      </c>
      <c r="K991" s="17">
        <v>1910</v>
      </c>
      <c r="L991" t="str">
        <f ca="1">+IF(TODAY()-ICETEX[[#This Row],[fecha_ultimo_movimiento]]&gt;360,"Inactivo","Activo")</f>
        <v>Inactivo</v>
      </c>
      <c r="M991" s="24">
        <f>+VLOOKUP(ICETEX[[#This Row],[fecha_ultimo_movimiento]],UVR!A:B,2,0)</f>
        <v>273.98419999999999</v>
      </c>
      <c r="N991" s="24">
        <v>62</v>
      </c>
      <c r="O991" t="s">
        <v>3265</v>
      </c>
    </row>
    <row r="992" spans="1:15" ht="15" thickBot="1">
      <c r="A992" s="6">
        <v>991</v>
      </c>
      <c r="B992" s="1" t="s">
        <v>3225</v>
      </c>
      <c r="C992" s="1" t="s">
        <v>3226</v>
      </c>
      <c r="D992" s="2">
        <v>11110688</v>
      </c>
      <c r="E992" s="1" t="s">
        <v>45</v>
      </c>
      <c r="F992" s="25">
        <v>107848.92</v>
      </c>
      <c r="G992" s="4">
        <v>44046</v>
      </c>
      <c r="H992" s="4">
        <v>42381</v>
      </c>
      <c r="I992" s="1" t="s">
        <v>3227</v>
      </c>
      <c r="J992" s="7" t="s">
        <v>3228</v>
      </c>
      <c r="K992" s="17">
        <v>1791</v>
      </c>
      <c r="L992" t="str">
        <f ca="1">+IF(TODAY()-ICETEX[[#This Row],[fecha_ultimo_movimiento]]&gt;360,"Inactivo","Activo")</f>
        <v>Inactivo</v>
      </c>
      <c r="M992" s="24">
        <f>+VLOOKUP(ICETEX[[#This Row],[fecha_ultimo_movimiento]],UVR!A:B,2,0)</f>
        <v>274.995</v>
      </c>
      <c r="N992" s="24">
        <v>392</v>
      </c>
      <c r="O992" t="s">
        <v>3264</v>
      </c>
    </row>
    <row r="993" spans="1:15" ht="15" thickBot="1">
      <c r="A993" s="6">
        <v>992</v>
      </c>
      <c r="B993" s="1" t="s">
        <v>3229</v>
      </c>
      <c r="C993" s="1" t="s">
        <v>3230</v>
      </c>
      <c r="D993" s="2">
        <v>323270216</v>
      </c>
      <c r="E993" s="1" t="s">
        <v>45</v>
      </c>
      <c r="F993" s="25">
        <v>115405.33</v>
      </c>
      <c r="G993" s="4">
        <v>45342</v>
      </c>
      <c r="H993" s="4">
        <v>42466</v>
      </c>
      <c r="I993" s="1" t="s">
        <v>193</v>
      </c>
      <c r="J993" s="7" t="s">
        <v>3231</v>
      </c>
      <c r="K993" s="17">
        <v>495</v>
      </c>
      <c r="L993" t="str">
        <f ca="1">+IF(TODAY()-ICETEX[[#This Row],[fecha_ultimo_movimiento]]&gt;360,"Inactivo","Activo")</f>
        <v>Inactivo</v>
      </c>
      <c r="M993" s="24">
        <f>+VLOOKUP(ICETEX[[#This Row],[fecha_ultimo_movimiento]],UVR!A:B,2,0)</f>
        <v>360.82810000000001</v>
      </c>
      <c r="N993" s="24">
        <v>320</v>
      </c>
      <c r="O993" t="s">
        <v>3265</v>
      </c>
    </row>
    <row r="994" spans="1:15" ht="15" thickBot="1">
      <c r="A994" s="6">
        <v>993</v>
      </c>
      <c r="B994" s="1" t="s">
        <v>3232</v>
      </c>
      <c r="C994" s="1" t="s">
        <v>3233</v>
      </c>
      <c r="D994" s="2">
        <v>111912401</v>
      </c>
      <c r="E994" s="1" t="s">
        <v>12</v>
      </c>
      <c r="F994" s="25">
        <v>104833.55</v>
      </c>
      <c r="G994" s="4">
        <v>43837</v>
      </c>
      <c r="H994" s="4">
        <v>42778</v>
      </c>
      <c r="I994" s="1" t="s">
        <v>1646</v>
      </c>
      <c r="J994" s="7" t="s">
        <v>3234</v>
      </c>
      <c r="K994" s="17">
        <v>2000</v>
      </c>
      <c r="L994" t="str">
        <f ca="1">+IF(TODAY()-ICETEX[[#This Row],[fecha_ultimo_movimiento]]&gt;360,"Inactivo","Activo")</f>
        <v>Inactivo</v>
      </c>
      <c r="M994" s="24">
        <f>+VLOOKUP(ICETEX[[#This Row],[fecha_ultimo_movimiento]],UVR!A:B,2,0)</f>
        <v>270.77429999999998</v>
      </c>
      <c r="N994" s="24">
        <v>387</v>
      </c>
      <c r="O994" t="s">
        <v>3264</v>
      </c>
    </row>
    <row r="995" spans="1:15" ht="15" thickBot="1">
      <c r="A995" s="6">
        <v>994</v>
      </c>
      <c r="B995" s="1" t="s">
        <v>3235</v>
      </c>
      <c r="C995" s="1" t="s">
        <v>3236</v>
      </c>
      <c r="D995" s="2">
        <v>325170699</v>
      </c>
      <c r="E995" s="1" t="s">
        <v>45</v>
      </c>
      <c r="F995" s="25">
        <v>174878.86</v>
      </c>
      <c r="G995" s="4">
        <v>44364</v>
      </c>
      <c r="H995" s="4">
        <v>43428</v>
      </c>
      <c r="I995" s="1" t="s">
        <v>96</v>
      </c>
      <c r="J995" s="7" t="s">
        <v>3237</v>
      </c>
      <c r="K995" s="17">
        <v>1473</v>
      </c>
      <c r="L995" t="str">
        <f ca="1">+IF(TODAY()-ICETEX[[#This Row],[fecha_ultimo_movimiento]]&gt;360,"Inactivo","Activo")</f>
        <v>Inactivo</v>
      </c>
      <c r="M995" s="24">
        <f>+VLOOKUP(ICETEX[[#This Row],[fecha_ultimo_movimiento]],UVR!A:B,2,0)</f>
        <v>282.07400000000001</v>
      </c>
      <c r="N995" s="24">
        <v>620</v>
      </c>
      <c r="O995" t="s">
        <v>3264</v>
      </c>
    </row>
    <row r="996" spans="1:15" ht="15" thickBot="1">
      <c r="A996" s="6">
        <v>995</v>
      </c>
      <c r="B996" s="1" t="s">
        <v>1794</v>
      </c>
      <c r="C996" s="1" t="s">
        <v>3238</v>
      </c>
      <c r="D996" s="2">
        <v>92902404</v>
      </c>
      <c r="E996" s="1" t="s">
        <v>45</v>
      </c>
      <c r="F996" s="25">
        <v>33795.230000000003</v>
      </c>
      <c r="G996" s="4">
        <v>45438</v>
      </c>
      <c r="H996" s="4">
        <v>43239</v>
      </c>
      <c r="I996" s="1" t="s">
        <v>3239</v>
      </c>
      <c r="J996" s="7" t="s">
        <v>3240</v>
      </c>
      <c r="K996" s="17">
        <v>399</v>
      </c>
      <c r="L996" t="str">
        <f ca="1">+IF(TODAY()-ICETEX[[#This Row],[fecha_ultimo_movimiento]]&gt;360,"Inactivo","Activo")</f>
        <v>Inactivo</v>
      </c>
      <c r="M996" s="24">
        <f>+VLOOKUP(ICETEX[[#This Row],[fecha_ultimo_movimiento]],UVR!A:B,2,0)</f>
        <v>370.88229999999999</v>
      </c>
      <c r="N996" s="24">
        <v>91</v>
      </c>
      <c r="O996" t="s">
        <v>3265</v>
      </c>
    </row>
    <row r="997" spans="1:15" ht="15" thickBot="1">
      <c r="A997" s="6">
        <v>996</v>
      </c>
      <c r="B997" s="1" t="s">
        <v>3241</v>
      </c>
      <c r="C997" s="1" t="s">
        <v>3242</v>
      </c>
      <c r="D997" s="2">
        <v>102000021</v>
      </c>
      <c r="E997" s="1" t="s">
        <v>45</v>
      </c>
      <c r="F997" s="25">
        <v>202606.1</v>
      </c>
      <c r="G997" s="4">
        <v>45176</v>
      </c>
      <c r="H997" s="4">
        <v>42669</v>
      </c>
      <c r="I997" s="1" t="s">
        <v>330</v>
      </c>
      <c r="J997" s="7" t="s">
        <v>3243</v>
      </c>
      <c r="K997" s="17">
        <v>661</v>
      </c>
      <c r="L997" t="str">
        <f ca="1">+IF(TODAY()-ICETEX[[#This Row],[fecha_ultimo_movimiento]]&gt;360,"Inactivo","Activo")</f>
        <v>Inactivo</v>
      </c>
      <c r="M997" s="24">
        <f>+VLOOKUP(ICETEX[[#This Row],[fecha_ultimo_movimiento]],UVR!A:B,2,0)</f>
        <v>351.25020000000001</v>
      </c>
      <c r="N997" s="24">
        <v>577</v>
      </c>
      <c r="O997" t="s">
        <v>3264</v>
      </c>
    </row>
    <row r="998" spans="1:15" ht="15" thickBot="1">
      <c r="A998" s="6">
        <v>997</v>
      </c>
      <c r="B998" s="1" t="s">
        <v>3244</v>
      </c>
      <c r="C998" s="1" t="s">
        <v>3245</v>
      </c>
      <c r="D998" s="2">
        <v>41205673</v>
      </c>
      <c r="E998" s="1" t="s">
        <v>45</v>
      </c>
      <c r="F998" s="25">
        <v>15653.79</v>
      </c>
      <c r="G998" s="4">
        <v>44418</v>
      </c>
      <c r="H998" s="4">
        <v>42636</v>
      </c>
      <c r="I998" s="1" t="s">
        <v>1014</v>
      </c>
      <c r="J998" s="7" t="s">
        <v>3246</v>
      </c>
      <c r="K998" s="17">
        <v>1419</v>
      </c>
      <c r="L998" t="str">
        <f ca="1">+IF(TODAY()-ICETEX[[#This Row],[fecha_ultimo_movimiento]]&gt;360,"Inactivo","Activo")</f>
        <v>Inactivo</v>
      </c>
      <c r="M998" s="24">
        <f>+VLOOKUP(ICETEX[[#This Row],[fecha_ultimo_movimiento]],UVR!A:B,2,0)</f>
        <v>284.58640000000003</v>
      </c>
      <c r="N998" s="24">
        <v>55</v>
      </c>
      <c r="O998" t="s">
        <v>3265</v>
      </c>
    </row>
    <row r="999" spans="1:15" ht="15" thickBot="1">
      <c r="A999" s="6">
        <v>998</v>
      </c>
      <c r="B999" s="1" t="s">
        <v>3247</v>
      </c>
      <c r="C999" s="1" t="s">
        <v>3248</v>
      </c>
      <c r="D999" s="2">
        <v>75910798</v>
      </c>
      <c r="E999" s="1" t="s">
        <v>12</v>
      </c>
      <c r="F999" s="25">
        <v>102516.3</v>
      </c>
      <c r="G999" s="4">
        <v>44622</v>
      </c>
      <c r="H999" s="4">
        <v>43375</v>
      </c>
      <c r="I999" s="1" t="s">
        <v>127</v>
      </c>
      <c r="J999" s="7" t="s">
        <v>3249</v>
      </c>
      <c r="K999" s="17">
        <v>1215</v>
      </c>
      <c r="L999" t="str">
        <f ca="1">+IF(TODAY()-ICETEX[[#This Row],[fecha_ultimo_movimiento]]&gt;360,"Inactivo","Activo")</f>
        <v>Inactivo</v>
      </c>
      <c r="M999" s="24">
        <f>+VLOOKUP(ICETEX[[#This Row],[fecha_ultimo_movimiento]],UVR!A:B,2,0)</f>
        <v>294.02569999999997</v>
      </c>
      <c r="N999" s="24">
        <v>349</v>
      </c>
      <c r="O999" t="s">
        <v>3264</v>
      </c>
    </row>
    <row r="1000" spans="1:15" ht="15" thickBot="1">
      <c r="A1000" s="6">
        <v>999</v>
      </c>
      <c r="B1000" s="1" t="s">
        <v>3250</v>
      </c>
      <c r="C1000" s="1" t="s">
        <v>3251</v>
      </c>
      <c r="D1000" s="2">
        <v>62205199</v>
      </c>
      <c r="E1000" s="1" t="s">
        <v>45</v>
      </c>
      <c r="F1000" s="25">
        <v>21921.119999999999</v>
      </c>
      <c r="G1000" s="4">
        <v>44036</v>
      </c>
      <c r="H1000" s="4">
        <v>43258</v>
      </c>
      <c r="I1000" s="1" t="s">
        <v>25</v>
      </c>
      <c r="J1000" s="7" t="s">
        <v>3252</v>
      </c>
      <c r="K1000" s="17">
        <v>1801</v>
      </c>
      <c r="L1000" t="str">
        <f ca="1">+IF(TODAY()-ICETEX[[#This Row],[fecha_ultimo_movimiento]]&gt;360,"Inactivo","Activo")</f>
        <v>Inactivo</v>
      </c>
      <c r="M1000" s="24">
        <f>+VLOOKUP(ICETEX[[#This Row],[fecha_ultimo_movimiento]],UVR!A:B,2,0)</f>
        <v>275.3329</v>
      </c>
      <c r="N1000" s="24">
        <v>80</v>
      </c>
      <c r="O1000" t="s">
        <v>3265</v>
      </c>
    </row>
    <row r="1001" spans="1:15">
      <c r="A1001" s="12">
        <v>1000</v>
      </c>
      <c r="B1001" s="13" t="s">
        <v>3253</v>
      </c>
      <c r="C1001" s="13" t="s">
        <v>3254</v>
      </c>
      <c r="D1001" s="14">
        <v>72407000</v>
      </c>
      <c r="E1001" s="13" t="s">
        <v>12</v>
      </c>
      <c r="F1001" s="28">
        <v>77394.34</v>
      </c>
      <c r="G1001" s="15">
        <v>44431</v>
      </c>
      <c r="H1001" s="15">
        <v>42720</v>
      </c>
      <c r="I1001" s="13" t="s">
        <v>319</v>
      </c>
      <c r="J1001" s="16" t="s">
        <v>3255</v>
      </c>
      <c r="K1001" s="17">
        <v>1406</v>
      </c>
      <c r="L1001" t="str">
        <f ca="1">+IF(TODAY()-ICETEX[[#This Row],[fecha_ultimo_movimiento]]&gt;360,"Inactivo","Activo")</f>
        <v>Inactivo</v>
      </c>
      <c r="M1001" s="24">
        <f>+VLOOKUP(ICETEX[[#This Row],[fecha_ultimo_movimiento]],UVR!A:B,2,0)</f>
        <v>284.79809999999998</v>
      </c>
      <c r="N1001" s="24">
        <v>272</v>
      </c>
      <c r="O1001" t="s">
        <v>3265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1]!Macro2">
                <anchor moveWithCells="1" sizeWithCells="1">
                  <from>
                    <xdr:col>15</xdr:col>
                    <xdr:colOff>279400</xdr:colOff>
                    <xdr:row>8</xdr:row>
                    <xdr:rowOff>88900</xdr:rowOff>
                  </from>
                  <to>
                    <xdr:col>16</xdr:col>
                    <xdr:colOff>457200</xdr:colOff>
                    <xdr:row>11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EjecutarProcesoCompleto">
                <anchor moveWithCells="1" sizeWithCells="1">
                  <from>
                    <xdr:col>15</xdr:col>
                    <xdr:colOff>368300</xdr:colOff>
                    <xdr:row>12</xdr:row>
                    <xdr:rowOff>88900</xdr:rowOff>
                  </from>
                  <to>
                    <xdr:col>16</xdr:col>
                    <xdr:colOff>361950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3B33C-7562-41FC-89BD-23407719BD83}">
  <dimension ref="B3:D7"/>
  <sheetViews>
    <sheetView workbookViewId="0"/>
  </sheetViews>
  <sheetFormatPr defaultRowHeight="14.5"/>
  <cols>
    <col min="2" max="2" width="12.453125" bestFit="1" customWidth="1"/>
    <col min="3" max="3" width="15.7265625" bestFit="1" customWidth="1"/>
    <col min="4" max="4" width="20" bestFit="1" customWidth="1"/>
  </cols>
  <sheetData>
    <row r="3" spans="2:4">
      <c r="C3" s="29" t="s">
        <v>3269</v>
      </c>
    </row>
    <row r="4" spans="2:4">
      <c r="B4" s="29" t="s">
        <v>3266</v>
      </c>
      <c r="C4" t="s">
        <v>3268</v>
      </c>
      <c r="D4" t="s">
        <v>3270</v>
      </c>
    </row>
    <row r="5" spans="2:4">
      <c r="B5" s="30" t="s">
        <v>3264</v>
      </c>
      <c r="C5">
        <v>637</v>
      </c>
      <c r="D5" s="17">
        <v>959</v>
      </c>
    </row>
    <row r="6" spans="2:4">
      <c r="B6" s="30" t="s">
        <v>3265</v>
      </c>
      <c r="C6">
        <v>363</v>
      </c>
      <c r="D6" s="17">
        <v>1088.5179063360881</v>
      </c>
    </row>
    <row r="7" spans="2:4">
      <c r="B7" s="30" t="s">
        <v>3267</v>
      </c>
      <c r="C7">
        <v>1000</v>
      </c>
      <c r="D7" s="17">
        <v>1006.015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E18AB-B310-48DD-A012-1D8DDB5EF277}">
  <sheetPr codeName="Sheet2"/>
  <dimension ref="A1:D2024"/>
  <sheetViews>
    <sheetView workbookViewId="0">
      <selection activeCell="G5" sqref="G5"/>
    </sheetView>
  </sheetViews>
  <sheetFormatPr defaultRowHeight="14.5"/>
  <cols>
    <col min="2" max="2" width="9.1796875"/>
  </cols>
  <sheetData>
    <row r="1" spans="1:4">
      <c r="A1" s="18" t="s">
        <v>3256</v>
      </c>
      <c r="B1" s="19" t="s">
        <v>3257</v>
      </c>
      <c r="C1" s="19" t="s">
        <v>3258</v>
      </c>
    </row>
    <row r="2" spans="1:4">
      <c r="A2" s="20">
        <v>45853</v>
      </c>
      <c r="B2" s="23">
        <v>392.7593</v>
      </c>
      <c r="C2" s="21">
        <v>5.0457964756799702</v>
      </c>
      <c r="D2" t="b">
        <f>+ISNUMBER(B2)</f>
        <v>1</v>
      </c>
    </row>
    <row r="3" spans="1:4">
      <c r="A3" s="20">
        <v>45852</v>
      </c>
      <c r="B3" s="23">
        <v>392.71749999999997</v>
      </c>
      <c r="C3" s="21">
        <v>5.0496482585192197</v>
      </c>
    </row>
    <row r="4" spans="1:4">
      <c r="A4" s="20">
        <v>45851</v>
      </c>
      <c r="B4" s="23">
        <v>392.67570000000001</v>
      </c>
      <c r="C4" s="21">
        <v>5.05350114396885</v>
      </c>
    </row>
    <row r="5" spans="1:4">
      <c r="A5" s="20">
        <v>45850</v>
      </c>
      <c r="B5" s="23">
        <v>392.63389999999998</v>
      </c>
      <c r="C5" s="21">
        <v>5.0573270222324496</v>
      </c>
    </row>
    <row r="6" spans="1:4">
      <c r="A6" s="20">
        <v>45849</v>
      </c>
      <c r="B6" s="23">
        <v>392.59199999999998</v>
      </c>
      <c r="C6" s="21">
        <v>5.0611553483667198</v>
      </c>
    </row>
    <row r="7" spans="1:4">
      <c r="A7" s="20">
        <v>45848</v>
      </c>
      <c r="B7" s="23">
        <v>392.55020000000002</v>
      </c>
      <c r="C7" s="21">
        <v>5.0649834152378501</v>
      </c>
    </row>
    <row r="8" spans="1:4">
      <c r="A8" s="20">
        <v>45847</v>
      </c>
      <c r="B8" s="23">
        <v>392.50839999999999</v>
      </c>
      <c r="C8" s="21">
        <v>5.0688407019144304</v>
      </c>
    </row>
    <row r="9" spans="1:4">
      <c r="A9" s="20">
        <v>45846</v>
      </c>
      <c r="B9" s="23">
        <v>392.46660000000003</v>
      </c>
      <c r="C9" s="21">
        <v>5.0726709630990898</v>
      </c>
    </row>
    <row r="10" spans="1:4">
      <c r="A10" s="20">
        <v>45845</v>
      </c>
      <c r="B10" s="23">
        <v>392.4248</v>
      </c>
      <c r="C10" s="21">
        <v>5.0765023196233798</v>
      </c>
    </row>
    <row r="11" spans="1:4">
      <c r="A11" s="20">
        <v>45844</v>
      </c>
      <c r="B11" s="23">
        <v>392.38310000000001</v>
      </c>
      <c r="C11" s="21">
        <v>5.0803615519998804</v>
      </c>
    </row>
    <row r="12" spans="1:4">
      <c r="A12" s="20">
        <v>45843</v>
      </c>
      <c r="B12" s="23">
        <v>392.34129999999999</v>
      </c>
      <c r="C12" s="21">
        <v>5.0841951044437099</v>
      </c>
    </row>
    <row r="13" spans="1:4">
      <c r="A13" s="20">
        <v>45842</v>
      </c>
      <c r="B13" s="23">
        <v>392.29950000000002</v>
      </c>
      <c r="C13" s="21">
        <v>5.0880297536388399</v>
      </c>
    </row>
    <row r="14" spans="1:4">
      <c r="A14" s="20">
        <v>45841</v>
      </c>
      <c r="B14" s="23">
        <v>392.2577</v>
      </c>
      <c r="C14" s="21">
        <v>5.0918655000559898</v>
      </c>
    </row>
    <row r="15" spans="1:4">
      <c r="A15" s="20">
        <v>45840</v>
      </c>
      <c r="B15" s="23">
        <v>392.21589999999998</v>
      </c>
      <c r="C15" s="21">
        <v>5.0957023441661704</v>
      </c>
    </row>
    <row r="16" spans="1:4">
      <c r="A16" s="20">
        <v>45839</v>
      </c>
      <c r="B16" s="23">
        <v>392.17419999999998</v>
      </c>
      <c r="C16" s="21">
        <v>5.0995670856454298</v>
      </c>
    </row>
    <row r="17" spans="1:3">
      <c r="A17" s="20">
        <v>45838</v>
      </c>
      <c r="B17" s="23">
        <v>392.13240000000002</v>
      </c>
      <c r="C17" s="21">
        <v>5.1033779594904303</v>
      </c>
    </row>
    <row r="18" spans="1:3">
      <c r="A18" s="20">
        <v>45837</v>
      </c>
      <c r="B18" s="23">
        <v>392.09070000000003</v>
      </c>
      <c r="C18" s="21">
        <v>5.1072449051532702</v>
      </c>
    </row>
    <row r="19" spans="1:3">
      <c r="A19" s="20">
        <v>45836</v>
      </c>
      <c r="B19" s="23">
        <v>392.0489</v>
      </c>
      <c r="C19" s="21">
        <v>5.1110579663439903</v>
      </c>
    </row>
    <row r="20" spans="1:3">
      <c r="A20" s="20">
        <v>45835</v>
      </c>
      <c r="B20" s="23">
        <v>392.00709999999998</v>
      </c>
      <c r="C20" s="21">
        <v>5.1149003035405904</v>
      </c>
    </row>
    <row r="21" spans="1:3">
      <c r="A21" s="20">
        <v>45834</v>
      </c>
      <c r="B21" s="23">
        <v>391.96539999999999</v>
      </c>
      <c r="C21" s="21">
        <v>5.1187423684967799</v>
      </c>
    </row>
    <row r="22" spans="1:3">
      <c r="A22" s="20">
        <v>45833</v>
      </c>
      <c r="B22" s="23">
        <v>391.9237</v>
      </c>
      <c r="C22" s="21">
        <v>5.1225855319943303</v>
      </c>
    </row>
    <row r="23" spans="1:3">
      <c r="A23" s="20">
        <v>45832</v>
      </c>
      <c r="B23" s="23">
        <v>391.88189999999997</v>
      </c>
      <c r="C23" s="21">
        <v>5.12643116972305</v>
      </c>
    </row>
    <row r="24" spans="1:3">
      <c r="A24" s="20">
        <v>45831</v>
      </c>
      <c r="B24" s="23">
        <v>391.84019999999998</v>
      </c>
      <c r="C24" s="21">
        <v>5.1302765329456204</v>
      </c>
    </row>
    <row r="25" spans="1:3">
      <c r="A25" s="20">
        <v>45830</v>
      </c>
      <c r="B25" s="23">
        <v>391.79849999999999</v>
      </c>
      <c r="C25" s="21">
        <v>5.1341229961246704</v>
      </c>
    </row>
    <row r="26" spans="1:3">
      <c r="A26" s="20">
        <v>45829</v>
      </c>
      <c r="B26" s="23">
        <v>391.75670000000002</v>
      </c>
      <c r="C26" s="21">
        <v>5.1379437221711299</v>
      </c>
    </row>
    <row r="27" spans="1:3">
      <c r="A27" s="20">
        <v>45828</v>
      </c>
      <c r="B27" s="23">
        <v>391.71499999999997</v>
      </c>
      <c r="C27" s="21">
        <v>5.1417923828399701</v>
      </c>
    </row>
    <row r="28" spans="1:3">
      <c r="A28" s="20">
        <v>45827</v>
      </c>
      <c r="B28" s="23">
        <v>391.67329999999998</v>
      </c>
      <c r="C28" s="21">
        <v>5.1456139182873999</v>
      </c>
    </row>
    <row r="29" spans="1:3">
      <c r="A29" s="20">
        <v>45826</v>
      </c>
      <c r="B29" s="23">
        <v>391.63159999999999</v>
      </c>
      <c r="C29" s="21">
        <v>5.1494647771003201</v>
      </c>
    </row>
    <row r="30" spans="1:3">
      <c r="A30" s="20">
        <v>45825</v>
      </c>
      <c r="B30" s="23">
        <v>391.5899</v>
      </c>
      <c r="C30" s="21">
        <v>5.1533167382296901</v>
      </c>
    </row>
    <row r="31" spans="1:3">
      <c r="A31" s="20">
        <v>45824</v>
      </c>
      <c r="B31" s="23">
        <v>391.54820000000001</v>
      </c>
      <c r="C31" s="21">
        <v>5.1571415603452504</v>
      </c>
    </row>
    <row r="32" spans="1:3">
      <c r="A32" s="20">
        <v>45823</v>
      </c>
      <c r="B32" s="23">
        <v>391.50650000000002</v>
      </c>
      <c r="C32" s="21">
        <v>5.1609957224494201</v>
      </c>
    </row>
    <row r="33" spans="1:3">
      <c r="A33" s="20">
        <v>45822</v>
      </c>
      <c r="B33" s="23">
        <v>391.42340000000002</v>
      </c>
      <c r="C33" s="21">
        <v>5.1586164059664403</v>
      </c>
    </row>
    <row r="34" spans="1:3">
      <c r="A34" s="20">
        <v>45821</v>
      </c>
      <c r="B34" s="23">
        <v>391.34039999999999</v>
      </c>
      <c r="C34" s="21">
        <v>5.1562630575252602</v>
      </c>
    </row>
    <row r="35" spans="1:3">
      <c r="A35" s="20">
        <v>45820</v>
      </c>
      <c r="B35" s="23">
        <v>391.25729999999999</v>
      </c>
      <c r="C35" s="21">
        <v>5.1538819401274996</v>
      </c>
    </row>
    <row r="36" spans="1:3">
      <c r="A36" s="20">
        <v>45819</v>
      </c>
      <c r="B36" s="23">
        <v>391.17430000000002</v>
      </c>
      <c r="C36" s="21">
        <v>5.1515267999444099</v>
      </c>
    </row>
    <row r="37" spans="1:3">
      <c r="A37" s="20">
        <v>45818</v>
      </c>
      <c r="B37" s="23">
        <v>391.09129999999999</v>
      </c>
      <c r="C37" s="21">
        <v>5.1491707656756001</v>
      </c>
    </row>
    <row r="38" spans="1:3">
      <c r="A38" s="20">
        <v>45817</v>
      </c>
      <c r="B38" s="23">
        <v>391.00830000000002</v>
      </c>
      <c r="C38" s="21">
        <v>5.1468138368118401</v>
      </c>
    </row>
    <row r="39" spans="1:3">
      <c r="A39" s="20">
        <v>45816</v>
      </c>
      <c r="B39" s="23">
        <v>390.92540000000002</v>
      </c>
      <c r="C39" s="21">
        <v>5.1444829091472402</v>
      </c>
    </row>
    <row r="40" spans="1:3">
      <c r="A40" s="20">
        <v>45815</v>
      </c>
      <c r="B40" s="23">
        <v>390.8424</v>
      </c>
      <c r="C40" s="21">
        <v>5.1420959099642296</v>
      </c>
    </row>
    <row r="41" spans="1:3">
      <c r="A41" s="20">
        <v>45814</v>
      </c>
      <c r="B41" s="23">
        <v>390.7595</v>
      </c>
      <c r="C41" s="21">
        <v>5.1397349117049496</v>
      </c>
    </row>
    <row r="42" spans="1:3">
      <c r="A42" s="20">
        <v>45813</v>
      </c>
      <c r="B42" s="23">
        <v>390.67660000000001</v>
      </c>
      <c r="C42" s="21">
        <v>5.1374013117261699</v>
      </c>
    </row>
    <row r="43" spans="1:3">
      <c r="A43" s="20">
        <v>45812</v>
      </c>
      <c r="B43" s="23">
        <v>390.59370000000001</v>
      </c>
      <c r="C43" s="21">
        <v>5.1350385259108497</v>
      </c>
    </row>
    <row r="44" spans="1:3">
      <c r="A44" s="20">
        <v>45811</v>
      </c>
      <c r="B44" s="23">
        <v>390.51080000000002</v>
      </c>
      <c r="C44" s="21">
        <v>5.1326748431870399</v>
      </c>
    </row>
    <row r="45" spans="1:3">
      <c r="A45" s="20">
        <v>45810</v>
      </c>
      <c r="B45" s="23">
        <v>390.428</v>
      </c>
      <c r="C45" s="21">
        <v>5.1303088816084399</v>
      </c>
    </row>
    <row r="46" spans="1:3">
      <c r="A46" s="20">
        <v>45809</v>
      </c>
      <c r="B46" s="23">
        <v>390.3451</v>
      </c>
      <c r="C46" s="21">
        <v>5.1279434039096703</v>
      </c>
    </row>
    <row r="47" spans="1:3">
      <c r="A47" s="20">
        <v>45808</v>
      </c>
      <c r="B47" s="23">
        <v>390.26229999999998</v>
      </c>
      <c r="C47" s="21">
        <v>5.1256039649353502</v>
      </c>
    </row>
    <row r="48" spans="1:3">
      <c r="A48" s="20">
        <v>45807</v>
      </c>
      <c r="B48" s="23">
        <v>390.17950000000002</v>
      </c>
      <c r="C48" s="21">
        <v>5.1232353146413203</v>
      </c>
    </row>
    <row r="49" spans="1:3">
      <c r="A49" s="20">
        <v>45806</v>
      </c>
      <c r="B49" s="23">
        <v>390.0967</v>
      </c>
      <c r="C49" s="21">
        <v>5.1208657656358803</v>
      </c>
    </row>
    <row r="50" spans="1:3">
      <c r="A50" s="20">
        <v>45805</v>
      </c>
      <c r="B50" s="23">
        <v>390.01389999999998</v>
      </c>
      <c r="C50" s="21">
        <v>5.1184953174074597</v>
      </c>
    </row>
    <row r="51" spans="1:3">
      <c r="A51" s="20">
        <v>45804</v>
      </c>
      <c r="B51" s="23">
        <v>389.93119999999999</v>
      </c>
      <c r="C51" s="21">
        <v>5.1161509270588903</v>
      </c>
    </row>
    <row r="52" spans="1:3">
      <c r="A52" s="20">
        <v>45803</v>
      </c>
      <c r="B52" s="23">
        <v>389.84840000000003</v>
      </c>
      <c r="C52" s="21">
        <v>5.1137786839652399</v>
      </c>
    </row>
    <row r="53" spans="1:3">
      <c r="A53" s="20">
        <v>45802</v>
      </c>
      <c r="B53" s="23">
        <v>389.76569999999998</v>
      </c>
      <c r="C53" s="21">
        <v>5.1114325079642802</v>
      </c>
    </row>
    <row r="54" spans="1:3">
      <c r="A54" s="20">
        <v>45801</v>
      </c>
      <c r="B54" s="23">
        <v>389.68299999999999</v>
      </c>
      <c r="C54" s="21">
        <v>5.1090854409339101</v>
      </c>
    </row>
    <row r="55" spans="1:3">
      <c r="A55" s="20">
        <v>45800</v>
      </c>
      <c r="B55" s="23">
        <v>389.6003</v>
      </c>
      <c r="C55" s="21">
        <v>5.1067091265790303</v>
      </c>
    </row>
    <row r="56" spans="1:3">
      <c r="A56" s="20">
        <v>45799</v>
      </c>
      <c r="B56" s="23">
        <v>389.51769999999999</v>
      </c>
      <c r="C56" s="21">
        <v>5.1043588938936697</v>
      </c>
    </row>
    <row r="57" spans="1:3">
      <c r="A57" s="20">
        <v>45798</v>
      </c>
      <c r="B57" s="23">
        <v>389.435</v>
      </c>
      <c r="C57" s="21">
        <v>5.1020091463455799</v>
      </c>
    </row>
    <row r="58" spans="1:3">
      <c r="A58" s="20">
        <v>45797</v>
      </c>
      <c r="B58" s="23">
        <v>389.35239999999999</v>
      </c>
      <c r="C58" s="21">
        <v>5.0996571291598896</v>
      </c>
    </row>
    <row r="59" spans="1:3">
      <c r="A59" s="20">
        <v>45796</v>
      </c>
      <c r="B59" s="23">
        <v>389.26979999999998</v>
      </c>
      <c r="C59" s="21">
        <v>5.0973042191485201</v>
      </c>
    </row>
    <row r="60" spans="1:3">
      <c r="A60" s="20">
        <v>45795</v>
      </c>
      <c r="B60" s="23">
        <v>389.18720000000002</v>
      </c>
      <c r="C60" s="21">
        <v>5.0949220362837799</v>
      </c>
    </row>
    <row r="61" spans="1:3">
      <c r="A61" s="20">
        <v>45794</v>
      </c>
      <c r="B61" s="23">
        <v>389.1046</v>
      </c>
      <c r="C61" s="21">
        <v>5.09256733434274</v>
      </c>
    </row>
    <row r="62" spans="1:3">
      <c r="A62" s="20">
        <v>45793</v>
      </c>
      <c r="B62" s="23">
        <v>389.02199999999999</v>
      </c>
      <c r="C62" s="21">
        <v>5.0902117380478797</v>
      </c>
    </row>
    <row r="63" spans="1:3">
      <c r="A63" s="20">
        <v>45792</v>
      </c>
      <c r="B63" s="23">
        <v>388.93950000000001</v>
      </c>
      <c r="C63" s="21">
        <v>5.0878538721981599</v>
      </c>
    </row>
    <row r="64" spans="1:3">
      <c r="A64" s="20">
        <v>45791</v>
      </c>
      <c r="B64" s="23">
        <v>388.8723</v>
      </c>
      <c r="C64" s="21">
        <v>5.0941455499498902</v>
      </c>
    </row>
    <row r="65" spans="1:3">
      <c r="A65" s="20">
        <v>45790</v>
      </c>
      <c r="B65" s="23">
        <v>388.80509999999998</v>
      </c>
      <c r="C65" s="21">
        <v>5.1004117460063396</v>
      </c>
    </row>
    <row r="66" spans="1:3">
      <c r="A66" s="20">
        <v>45789</v>
      </c>
      <c r="B66" s="23">
        <v>388.73790000000002</v>
      </c>
      <c r="C66" s="21">
        <v>5.1066808561722699</v>
      </c>
    </row>
    <row r="67" spans="1:3">
      <c r="A67" s="20">
        <v>45788</v>
      </c>
      <c r="B67" s="23">
        <v>388.67059999999998</v>
      </c>
      <c r="C67" s="21">
        <v>5.1129258382625897</v>
      </c>
    </row>
    <row r="68" spans="1:3">
      <c r="A68" s="20">
        <v>45787</v>
      </c>
      <c r="B68" s="23">
        <v>388.6035</v>
      </c>
      <c r="C68" s="21">
        <v>5.1192278269676299</v>
      </c>
    </row>
    <row r="69" spans="1:3">
      <c r="A69" s="20">
        <v>45786</v>
      </c>
      <c r="B69" s="23">
        <v>388.53629999999998</v>
      </c>
      <c r="C69" s="21">
        <v>5.1254772480748398</v>
      </c>
    </row>
    <row r="70" spans="1:3">
      <c r="A70" s="20">
        <v>45785</v>
      </c>
      <c r="B70" s="23">
        <v>388.46910000000003</v>
      </c>
      <c r="C70" s="21">
        <v>5.1317580267107301</v>
      </c>
    </row>
    <row r="71" spans="1:3">
      <c r="A71" s="20">
        <v>45784</v>
      </c>
      <c r="B71" s="23">
        <v>388.40199999999999</v>
      </c>
      <c r="C71" s="21">
        <v>5.1380403388004501</v>
      </c>
    </row>
    <row r="72" spans="1:3">
      <c r="A72" s="20">
        <v>45783</v>
      </c>
      <c r="B72" s="23">
        <v>388.33479999999997</v>
      </c>
      <c r="C72" s="21">
        <v>5.1442984974891397</v>
      </c>
    </row>
    <row r="73" spans="1:3">
      <c r="A73" s="20">
        <v>45782</v>
      </c>
      <c r="B73" s="23">
        <v>388.26769999999999</v>
      </c>
      <c r="C73" s="21">
        <v>5.1505581730283598</v>
      </c>
    </row>
    <row r="74" spans="1:3">
      <c r="A74" s="20">
        <v>45781</v>
      </c>
      <c r="B74" s="23">
        <v>388.20060000000001</v>
      </c>
      <c r="C74" s="21">
        <v>5.1568492434515401</v>
      </c>
    </row>
    <row r="75" spans="1:3">
      <c r="A75" s="20">
        <v>45780</v>
      </c>
      <c r="B75" s="23">
        <v>388.13350000000003</v>
      </c>
      <c r="C75" s="21">
        <v>5.1631147487682796</v>
      </c>
    </row>
    <row r="76" spans="1:3">
      <c r="A76" s="20">
        <v>45779</v>
      </c>
      <c r="B76" s="23">
        <v>388.06639999999999</v>
      </c>
      <c r="C76" s="21">
        <v>5.1693831678644298</v>
      </c>
    </row>
    <row r="77" spans="1:3">
      <c r="A77" s="20">
        <v>45778</v>
      </c>
      <c r="B77" s="23">
        <v>387.99930000000001</v>
      </c>
      <c r="C77" s="21">
        <v>5.1756545027730603</v>
      </c>
    </row>
    <row r="78" spans="1:3">
      <c r="A78" s="20">
        <v>45777</v>
      </c>
      <c r="B78" s="23">
        <v>387.93220000000002</v>
      </c>
      <c r="C78" s="21">
        <v>5.1819287555291202</v>
      </c>
    </row>
    <row r="79" spans="1:3">
      <c r="A79" s="20">
        <v>45776</v>
      </c>
      <c r="B79" s="23">
        <v>387.86509999999998</v>
      </c>
      <c r="C79" s="21">
        <v>5.1881774013551798</v>
      </c>
    </row>
    <row r="80" spans="1:3">
      <c r="A80" s="20">
        <v>45775</v>
      </c>
      <c r="B80" s="23">
        <v>387.79809999999998</v>
      </c>
      <c r="C80" s="21">
        <v>5.1944560785224301</v>
      </c>
    </row>
    <row r="81" spans="1:3">
      <c r="A81" s="20">
        <v>45774</v>
      </c>
      <c r="B81" s="23">
        <v>387.73110000000003</v>
      </c>
      <c r="C81" s="21">
        <v>5.2007662190724497</v>
      </c>
    </row>
    <row r="82" spans="1:3">
      <c r="A82" s="20">
        <v>45773</v>
      </c>
      <c r="B82" s="23">
        <v>387.66399999999999</v>
      </c>
      <c r="C82" s="21">
        <v>5.2069950558704603</v>
      </c>
    </row>
    <row r="83" spans="1:3">
      <c r="A83" s="20">
        <v>45772</v>
      </c>
      <c r="B83" s="23">
        <v>387.59699999999998</v>
      </c>
      <c r="C83" s="21">
        <v>5.2132824925208698</v>
      </c>
    </row>
    <row r="84" spans="1:3">
      <c r="A84" s="20">
        <v>45771</v>
      </c>
      <c r="B84" s="23">
        <v>387.53</v>
      </c>
      <c r="C84" s="21">
        <v>5.2195728551801999</v>
      </c>
    </row>
    <row r="85" spans="1:3">
      <c r="A85" s="20">
        <v>45770</v>
      </c>
      <c r="B85" s="23">
        <v>387.46300000000002</v>
      </c>
      <c r="C85" s="21">
        <v>5.2258375690211603</v>
      </c>
    </row>
    <row r="86" spans="1:3">
      <c r="A86" s="20">
        <v>45769</v>
      </c>
      <c r="B86" s="23">
        <v>387.39600000000002</v>
      </c>
      <c r="C86" s="21">
        <v>5.2321051962487699</v>
      </c>
    </row>
    <row r="87" spans="1:3">
      <c r="A87" s="20">
        <v>45768</v>
      </c>
      <c r="B87" s="23">
        <v>387.32909999999998</v>
      </c>
      <c r="C87" s="21">
        <v>5.2384029091762701</v>
      </c>
    </row>
    <row r="88" spans="1:3">
      <c r="A88" s="20">
        <v>45767</v>
      </c>
      <c r="B88" s="23">
        <v>387.26209999999998</v>
      </c>
      <c r="C88" s="21">
        <v>5.2446763755980204</v>
      </c>
    </row>
    <row r="89" spans="1:3">
      <c r="A89" s="20">
        <v>45766</v>
      </c>
      <c r="B89" s="23">
        <v>387.1952</v>
      </c>
      <c r="C89" s="21">
        <v>5.2509513341511802</v>
      </c>
    </row>
    <row r="90" spans="1:3">
      <c r="A90" s="20">
        <v>45765</v>
      </c>
      <c r="B90" s="23">
        <v>387.12819999999999</v>
      </c>
      <c r="C90" s="21">
        <v>5.2572020209215697</v>
      </c>
    </row>
    <row r="91" spans="1:3">
      <c r="A91" s="20">
        <v>45764</v>
      </c>
      <c r="B91" s="23">
        <v>387.06130000000002</v>
      </c>
      <c r="C91" s="21">
        <v>5.2634828100953204</v>
      </c>
    </row>
    <row r="92" spans="1:3">
      <c r="A92" s="20">
        <v>45763</v>
      </c>
      <c r="B92" s="23">
        <v>386.99439999999998</v>
      </c>
      <c r="C92" s="21">
        <v>5.2697665207920297</v>
      </c>
    </row>
    <row r="93" spans="1:3">
      <c r="A93" s="20">
        <v>45762</v>
      </c>
      <c r="B93" s="23">
        <v>386.92750000000001</v>
      </c>
      <c r="C93" s="21">
        <v>5.2760531550506196</v>
      </c>
    </row>
    <row r="94" spans="1:3">
      <c r="A94" s="20">
        <v>45761</v>
      </c>
      <c r="B94" s="23">
        <v>386.786</v>
      </c>
      <c r="C94" s="21">
        <v>5.2743601384402501</v>
      </c>
    </row>
    <row r="95" spans="1:3">
      <c r="A95" s="20">
        <v>45760</v>
      </c>
      <c r="B95" s="23">
        <v>386.64460000000003</v>
      </c>
      <c r="C95" s="21">
        <v>5.2726645015563101</v>
      </c>
    </row>
    <row r="96" spans="1:3">
      <c r="A96" s="20">
        <v>45759</v>
      </c>
      <c r="B96" s="23">
        <v>386.50319999999999</v>
      </c>
      <c r="C96" s="21">
        <v>5.2709676786759001</v>
      </c>
    </row>
    <row r="97" spans="1:3">
      <c r="A97" s="20">
        <v>45758</v>
      </c>
      <c r="B97" s="23">
        <v>386.36189999999999</v>
      </c>
      <c r="C97" s="21">
        <v>5.2692969148476996</v>
      </c>
    </row>
    <row r="98" spans="1:3">
      <c r="A98" s="20">
        <v>45757</v>
      </c>
      <c r="B98" s="23">
        <v>386.22070000000002</v>
      </c>
      <c r="C98" s="21">
        <v>5.2676235458678704</v>
      </c>
    </row>
    <row r="99" spans="1:3">
      <c r="A99" s="20">
        <v>45756</v>
      </c>
      <c r="B99" s="23">
        <v>386.0795</v>
      </c>
      <c r="C99" s="21">
        <v>5.2659490061505201</v>
      </c>
    </row>
    <row r="100" spans="1:3">
      <c r="A100" s="20">
        <v>45755</v>
      </c>
      <c r="B100" s="23">
        <v>385.93830000000003</v>
      </c>
      <c r="C100" s="21">
        <v>5.2642732944666104</v>
      </c>
    </row>
    <row r="101" spans="1:3">
      <c r="A101" s="20">
        <v>45754</v>
      </c>
      <c r="B101" s="23">
        <v>385.79719999999998</v>
      </c>
      <c r="C101" s="21">
        <v>5.2625949737155402</v>
      </c>
    </row>
    <row r="102" spans="1:3">
      <c r="A102" s="20">
        <v>45753</v>
      </c>
      <c r="B102" s="23">
        <v>385.65620000000001</v>
      </c>
      <c r="C102" s="21">
        <v>5.2609140425327503</v>
      </c>
    </row>
    <row r="103" spans="1:3">
      <c r="A103" s="20">
        <v>45752</v>
      </c>
      <c r="B103" s="23">
        <v>385.51519999999999</v>
      </c>
      <c r="C103" s="21">
        <v>5.2592319355112602</v>
      </c>
    </row>
    <row r="104" spans="1:3">
      <c r="A104" s="20">
        <v>45751</v>
      </c>
      <c r="B104" s="23">
        <v>385.37430000000001</v>
      </c>
      <c r="C104" s="21">
        <v>5.2575759644930002</v>
      </c>
    </row>
    <row r="105" spans="1:3">
      <c r="A105" s="20">
        <v>45750</v>
      </c>
      <c r="B105" s="23">
        <v>385.23340000000002</v>
      </c>
      <c r="C105" s="21">
        <v>5.2558900756017097</v>
      </c>
    </row>
    <row r="106" spans="1:3">
      <c r="A106" s="20">
        <v>45749</v>
      </c>
      <c r="B106" s="23">
        <v>385.09249999999997</v>
      </c>
      <c r="C106" s="21">
        <v>5.2542030070872396</v>
      </c>
    </row>
    <row r="107" spans="1:3">
      <c r="A107" s="20">
        <v>45748</v>
      </c>
      <c r="B107" s="23">
        <v>384.95170000000002</v>
      </c>
      <c r="C107" s="21">
        <v>5.2525133215818496</v>
      </c>
    </row>
    <row r="108" spans="1:3">
      <c r="A108" s="20">
        <v>45747</v>
      </c>
      <c r="B108" s="23">
        <v>384.81099999999998</v>
      </c>
      <c r="C108" s="21">
        <v>5.2508498052039698</v>
      </c>
    </row>
    <row r="109" spans="1:3">
      <c r="A109" s="20">
        <v>45746</v>
      </c>
      <c r="B109" s="23">
        <v>384.6703</v>
      </c>
      <c r="C109" s="21">
        <v>5.2491563274483699</v>
      </c>
    </row>
    <row r="110" spans="1:3">
      <c r="A110" s="20">
        <v>45745</v>
      </c>
      <c r="B110" s="23">
        <v>384.52969999999999</v>
      </c>
      <c r="C110" s="21">
        <v>5.2474890353998402</v>
      </c>
    </row>
    <row r="111" spans="1:3">
      <c r="A111" s="20">
        <v>45744</v>
      </c>
      <c r="B111" s="23">
        <v>384.38909999999998</v>
      </c>
      <c r="C111" s="21">
        <v>5.2457917602036401</v>
      </c>
    </row>
    <row r="112" spans="1:3">
      <c r="A112" s="20">
        <v>45743</v>
      </c>
      <c r="B112" s="23">
        <v>384.24860000000001</v>
      </c>
      <c r="C112" s="21">
        <v>5.2441495132457501</v>
      </c>
    </row>
    <row r="113" spans="1:3">
      <c r="A113" s="20">
        <v>45742</v>
      </c>
      <c r="B113" s="23">
        <v>384.10809999999998</v>
      </c>
      <c r="C113" s="21">
        <v>5.2424484450283497</v>
      </c>
    </row>
    <row r="114" spans="1:3">
      <c r="A114" s="20">
        <v>45741</v>
      </c>
      <c r="B114" s="23">
        <v>383.96769999999998</v>
      </c>
      <c r="C114" s="21">
        <v>5.2407735957191903</v>
      </c>
    </row>
    <row r="115" spans="1:3">
      <c r="A115" s="20">
        <v>45740</v>
      </c>
      <c r="B115" s="23">
        <v>383.82729999999998</v>
      </c>
      <c r="C115" s="21">
        <v>5.2390975744908497</v>
      </c>
    </row>
    <row r="116" spans="1:3">
      <c r="A116" s="20">
        <v>45739</v>
      </c>
      <c r="B116" s="23">
        <v>383.68700000000001</v>
      </c>
      <c r="C116" s="21">
        <v>5.2374189435966496</v>
      </c>
    </row>
    <row r="117" spans="1:3">
      <c r="A117" s="20">
        <v>45738</v>
      </c>
      <c r="B117" s="23">
        <v>383.54669999999999</v>
      </c>
      <c r="C117" s="21">
        <v>5.2357391382365801</v>
      </c>
    </row>
    <row r="118" spans="1:3">
      <c r="A118" s="20">
        <v>45737</v>
      </c>
      <c r="B118" s="23">
        <v>383.40649999999999</v>
      </c>
      <c r="C118" s="21">
        <v>5.2340567205792201</v>
      </c>
    </row>
    <row r="119" spans="1:3">
      <c r="A119" s="20">
        <v>45736</v>
      </c>
      <c r="B119" s="23">
        <v>383.2663</v>
      </c>
      <c r="C119" s="21">
        <v>5.2323731259069302</v>
      </c>
    </row>
    <row r="120" spans="1:3">
      <c r="A120" s="20">
        <v>45735</v>
      </c>
      <c r="B120" s="23">
        <v>383.12619999999998</v>
      </c>
      <c r="C120" s="21">
        <v>5.2307158193165799</v>
      </c>
    </row>
    <row r="121" spans="1:3">
      <c r="A121" s="20">
        <v>45734</v>
      </c>
      <c r="B121" s="23">
        <v>382.98610000000002</v>
      </c>
      <c r="C121" s="21">
        <v>5.22902843979527</v>
      </c>
    </row>
    <row r="122" spans="1:3">
      <c r="A122" s="20">
        <v>45733</v>
      </c>
      <c r="B122" s="23">
        <v>382.84609999999998</v>
      </c>
      <c r="C122" s="21">
        <v>5.2273384427129796</v>
      </c>
    </row>
    <row r="123" spans="1:3">
      <c r="A123" s="20">
        <v>45732</v>
      </c>
      <c r="B123" s="23">
        <v>382.70609999999999</v>
      </c>
      <c r="C123" s="21">
        <v>5.2256472635168896</v>
      </c>
    </row>
    <row r="124" spans="1:3">
      <c r="A124" s="20">
        <v>45731</v>
      </c>
      <c r="B124" s="23">
        <v>382.56619999999998</v>
      </c>
      <c r="C124" s="21">
        <v>5.2239824057438797</v>
      </c>
    </row>
    <row r="125" spans="1:3">
      <c r="A125" s="20">
        <v>45730</v>
      </c>
      <c r="B125" s="23">
        <v>382.4384</v>
      </c>
      <c r="C125" s="21">
        <v>5.2220556740468798</v>
      </c>
    </row>
    <row r="126" spans="1:3">
      <c r="A126" s="20">
        <v>45729</v>
      </c>
      <c r="B126" s="23">
        <v>382.3107</v>
      </c>
      <c r="C126" s="21">
        <v>5.22015524698935</v>
      </c>
    </row>
    <row r="127" spans="1:3">
      <c r="A127" s="20">
        <v>45728</v>
      </c>
      <c r="B127" s="23">
        <v>382.18290000000002</v>
      </c>
      <c r="C127" s="21">
        <v>5.2181971203282602</v>
      </c>
    </row>
    <row r="128" spans="1:3">
      <c r="A128" s="20">
        <v>45727</v>
      </c>
      <c r="B128" s="23">
        <v>382.05520000000001</v>
      </c>
      <c r="C128" s="21">
        <v>5.2162652961520104</v>
      </c>
    </row>
    <row r="129" spans="1:3">
      <c r="A129" s="20">
        <v>45726</v>
      </c>
      <c r="B129" s="23">
        <v>381.92759999999998</v>
      </c>
      <c r="C129" s="21">
        <v>5.2143308146895997</v>
      </c>
    </row>
    <row r="130" spans="1:3">
      <c r="A130" s="20">
        <v>45725</v>
      </c>
      <c r="B130" s="23">
        <v>381.8</v>
      </c>
      <c r="C130" s="21">
        <v>5.21239511139893</v>
      </c>
    </row>
    <row r="131" spans="1:3">
      <c r="A131" s="20">
        <v>45724</v>
      </c>
      <c r="B131" s="23">
        <v>381.67239999999998</v>
      </c>
      <c r="C131" s="21">
        <v>5.2104581851220502</v>
      </c>
    </row>
    <row r="132" spans="1:3">
      <c r="A132" s="20">
        <v>45723</v>
      </c>
      <c r="B132" s="23">
        <v>381.54489999999998</v>
      </c>
      <c r="C132" s="21">
        <v>5.2085476090552003</v>
      </c>
    </row>
    <row r="133" spans="1:3">
      <c r="A133" s="20">
        <v>45722</v>
      </c>
      <c r="B133" s="23">
        <v>381.41750000000002</v>
      </c>
      <c r="C133" s="21">
        <v>5.2066343889647904</v>
      </c>
    </row>
    <row r="134" spans="1:3">
      <c r="A134" s="20">
        <v>45721</v>
      </c>
      <c r="B134" s="23">
        <v>381.29</v>
      </c>
      <c r="C134" s="21">
        <v>5.20466334038671</v>
      </c>
    </row>
    <row r="135" spans="1:3">
      <c r="A135" s="20">
        <v>45720</v>
      </c>
      <c r="B135" s="23">
        <v>381.16269999999997</v>
      </c>
      <c r="C135" s="21">
        <v>5.2027752845334598</v>
      </c>
    </row>
    <row r="136" spans="1:3">
      <c r="A136" s="20">
        <v>45719</v>
      </c>
      <c r="B136" s="23">
        <v>381.03530000000001</v>
      </c>
      <c r="C136" s="21">
        <v>5.2008293806150201</v>
      </c>
    </row>
    <row r="137" spans="1:3">
      <c r="A137" s="20">
        <v>45718</v>
      </c>
      <c r="B137" s="23">
        <v>380.90800000000002</v>
      </c>
      <c r="C137" s="21">
        <v>5.1988808112599401</v>
      </c>
    </row>
    <row r="138" spans="1:3">
      <c r="A138" s="20">
        <v>45717</v>
      </c>
      <c r="B138" s="23">
        <v>380.7808</v>
      </c>
      <c r="C138" s="21">
        <v>5.19698770033812</v>
      </c>
    </row>
    <row r="139" spans="1:3">
      <c r="A139" s="20">
        <v>45716</v>
      </c>
      <c r="B139" s="23">
        <v>380.65350000000001</v>
      </c>
      <c r="C139" s="21">
        <v>5.2282463023247603</v>
      </c>
    </row>
    <row r="140" spans="1:3">
      <c r="A140" s="20">
        <v>45715</v>
      </c>
      <c r="B140" s="23">
        <v>380.52640000000002</v>
      </c>
      <c r="C140" s="21">
        <v>5.2263301427494504</v>
      </c>
    </row>
    <row r="141" spans="1:3">
      <c r="A141" s="20">
        <v>45714</v>
      </c>
      <c r="B141" s="23">
        <v>380.39920000000001</v>
      </c>
      <c r="C141" s="21">
        <v>5.2243851109948096</v>
      </c>
    </row>
    <row r="142" spans="1:3">
      <c r="A142" s="20">
        <v>45713</v>
      </c>
      <c r="B142" s="23">
        <v>380.27210000000002</v>
      </c>
      <c r="C142" s="21">
        <v>5.2224374049352198</v>
      </c>
    </row>
    <row r="143" spans="1:3">
      <c r="A143" s="20">
        <v>45712</v>
      </c>
      <c r="B143" s="23">
        <v>380.14510000000001</v>
      </c>
      <c r="C143" s="21">
        <v>5.22051614767543</v>
      </c>
    </row>
    <row r="144" spans="1:3">
      <c r="A144" s="20">
        <v>45711</v>
      </c>
      <c r="B144" s="23">
        <v>380.0181</v>
      </c>
      <c r="C144" s="21">
        <v>5.21859367649758</v>
      </c>
    </row>
    <row r="145" spans="1:3">
      <c r="A145" s="20">
        <v>45710</v>
      </c>
      <c r="B145" s="23">
        <v>379.89109999999999</v>
      </c>
      <c r="C145" s="21">
        <v>5.2166699902508196</v>
      </c>
    </row>
    <row r="146" spans="1:3">
      <c r="A146" s="20">
        <v>45709</v>
      </c>
      <c r="B146" s="23">
        <v>379.76420000000002</v>
      </c>
      <c r="C146" s="21">
        <v>5.2147436430229801</v>
      </c>
    </row>
    <row r="147" spans="1:3">
      <c r="A147" s="20">
        <v>45708</v>
      </c>
      <c r="B147" s="23">
        <v>379.63729999999998</v>
      </c>
      <c r="C147" s="21">
        <v>5.21278691986572</v>
      </c>
    </row>
    <row r="148" spans="1:3">
      <c r="A148" s="20">
        <v>45707</v>
      </c>
      <c r="B148" s="23">
        <v>379.51049999999998</v>
      </c>
      <c r="C148" s="21">
        <v>5.2108566837679202</v>
      </c>
    </row>
    <row r="149" spans="1:3">
      <c r="A149" s="20">
        <v>45706</v>
      </c>
      <c r="B149" s="23">
        <v>379.38369999999998</v>
      </c>
      <c r="C149" s="21">
        <v>5.2089252282929301</v>
      </c>
    </row>
    <row r="150" spans="1:3">
      <c r="A150" s="20">
        <v>45705</v>
      </c>
      <c r="B150" s="23">
        <v>379.25700000000001</v>
      </c>
      <c r="C150" s="21">
        <v>5.2070202925824702</v>
      </c>
    </row>
    <row r="151" spans="1:3">
      <c r="A151" s="20">
        <v>45704</v>
      </c>
      <c r="B151" s="23">
        <v>379.13029999999998</v>
      </c>
      <c r="C151" s="21">
        <v>5.2050849592893602</v>
      </c>
    </row>
    <row r="152" spans="1:3">
      <c r="A152" s="20">
        <v>45703</v>
      </c>
      <c r="B152" s="23">
        <v>379.00360000000001</v>
      </c>
      <c r="C152" s="21">
        <v>5.2031484033145103</v>
      </c>
    </row>
    <row r="153" spans="1:3">
      <c r="A153" s="20">
        <v>45702</v>
      </c>
      <c r="B153" s="23">
        <v>378.94749999999999</v>
      </c>
      <c r="C153" s="21">
        <v>5.2028197151301496</v>
      </c>
    </row>
    <row r="154" spans="1:3">
      <c r="A154" s="20">
        <v>45701</v>
      </c>
      <c r="B154" s="23">
        <v>378.89139999999998</v>
      </c>
      <c r="C154" s="21">
        <v>5.20246172128906</v>
      </c>
    </row>
    <row r="155" spans="1:3">
      <c r="A155" s="20">
        <v>45700</v>
      </c>
      <c r="B155" s="23">
        <v>378.83530000000002</v>
      </c>
      <c r="C155" s="21">
        <v>5.2021328383628802</v>
      </c>
    </row>
    <row r="156" spans="1:3">
      <c r="A156" s="20">
        <v>45699</v>
      </c>
      <c r="B156" s="23">
        <v>378.77929999999998</v>
      </c>
      <c r="C156" s="21">
        <v>5.2018316339864903</v>
      </c>
    </row>
    <row r="157" spans="1:3">
      <c r="A157" s="20">
        <v>45698</v>
      </c>
      <c r="B157" s="23">
        <v>378.72320000000002</v>
      </c>
      <c r="C157" s="21">
        <v>5.2014733415185601</v>
      </c>
    </row>
    <row r="158" spans="1:3">
      <c r="A158" s="20">
        <v>45697</v>
      </c>
      <c r="B158" s="23">
        <v>378.6671</v>
      </c>
      <c r="C158" s="21">
        <v>5.2011149453292802</v>
      </c>
    </row>
    <row r="159" spans="1:3">
      <c r="A159" s="20">
        <v>45696</v>
      </c>
      <c r="B159" s="23">
        <v>378.61110000000002</v>
      </c>
      <c r="C159" s="21">
        <v>5.2008134624195996</v>
      </c>
    </row>
    <row r="160" spans="1:3">
      <c r="A160" s="20">
        <v>45695</v>
      </c>
      <c r="B160" s="23">
        <v>378.55500000000001</v>
      </c>
      <c r="C160" s="21">
        <v>5.2004548668080597</v>
      </c>
    </row>
    <row r="161" spans="1:3">
      <c r="A161" s="20">
        <v>45694</v>
      </c>
      <c r="B161" s="23">
        <v>378.49900000000002</v>
      </c>
      <c r="C161" s="21">
        <v>5.2001239613718599</v>
      </c>
    </row>
    <row r="162" spans="1:3">
      <c r="A162" s="20">
        <v>45693</v>
      </c>
      <c r="B162" s="23">
        <v>378.44290000000001</v>
      </c>
      <c r="C162" s="21">
        <v>5.1997651620320804</v>
      </c>
    </row>
    <row r="163" spans="1:3">
      <c r="A163" s="20">
        <v>45692</v>
      </c>
      <c r="B163" s="23">
        <v>378.38690000000003</v>
      </c>
      <c r="C163" s="21">
        <v>5.1994340608304004</v>
      </c>
    </row>
    <row r="164" spans="1:3">
      <c r="A164" s="20">
        <v>45691</v>
      </c>
      <c r="B164" s="23">
        <v>378.33089999999999</v>
      </c>
      <c r="C164" s="21">
        <v>5.1991028636955701</v>
      </c>
    </row>
    <row r="165" spans="1:3">
      <c r="A165" s="20">
        <v>45690</v>
      </c>
      <c r="B165" s="23">
        <v>378.2749</v>
      </c>
      <c r="C165" s="21">
        <v>5.1987715705858797</v>
      </c>
    </row>
    <row r="166" spans="1:3">
      <c r="A166" s="20">
        <v>45689</v>
      </c>
      <c r="B166" s="23">
        <v>378.21890000000002</v>
      </c>
      <c r="C166" s="21">
        <v>5.1984401814596302</v>
      </c>
    </row>
    <row r="167" spans="1:3">
      <c r="A167" s="20">
        <v>45688</v>
      </c>
      <c r="B167" s="23">
        <v>378.16289999999998</v>
      </c>
      <c r="C167" s="21">
        <v>5.1980794320637997</v>
      </c>
    </row>
    <row r="168" spans="1:3">
      <c r="A168" s="20">
        <v>45687</v>
      </c>
      <c r="B168" s="23">
        <v>378.1069</v>
      </c>
      <c r="C168" s="21">
        <v>5.1977478466294302</v>
      </c>
    </row>
    <row r="169" spans="1:3">
      <c r="A169" s="20">
        <v>45686</v>
      </c>
      <c r="B169" s="23">
        <v>378.05099999999999</v>
      </c>
      <c r="C169" s="21">
        <v>5.1974147188060096</v>
      </c>
    </row>
    <row r="170" spans="1:3">
      <c r="A170" s="20">
        <v>45685</v>
      </c>
      <c r="B170" s="23">
        <v>377.995</v>
      </c>
      <c r="C170" s="21">
        <v>5.1970829409263297</v>
      </c>
    </row>
    <row r="171" spans="1:3">
      <c r="A171" s="20">
        <v>45684</v>
      </c>
      <c r="B171" s="23">
        <v>377.93900000000002</v>
      </c>
      <c r="C171" s="21">
        <v>5.19672178602762</v>
      </c>
    </row>
    <row r="172" spans="1:3">
      <c r="A172" s="20">
        <v>45683</v>
      </c>
      <c r="B172" s="23">
        <v>377.88310000000001</v>
      </c>
      <c r="C172" s="21">
        <v>5.1964176498475698</v>
      </c>
    </row>
    <row r="173" spans="1:3">
      <c r="A173" s="20">
        <v>45682</v>
      </c>
      <c r="B173" s="23">
        <v>377.82709999999997</v>
      </c>
      <c r="C173" s="21">
        <v>5.1960562939509396</v>
      </c>
    </row>
    <row r="174" spans="1:3">
      <c r="A174" s="20">
        <v>45681</v>
      </c>
      <c r="B174" s="23">
        <v>377.77120000000002</v>
      </c>
      <c r="C174" s="21">
        <v>5.19572267981611</v>
      </c>
    </row>
    <row r="175" spans="1:3">
      <c r="A175" s="20">
        <v>45680</v>
      </c>
      <c r="B175" s="23">
        <v>377.71530000000001</v>
      </c>
      <c r="C175" s="21">
        <v>5.1953889690517503</v>
      </c>
    </row>
    <row r="176" spans="1:3">
      <c r="A176" s="20">
        <v>45679</v>
      </c>
      <c r="B176" s="23">
        <v>377.65940000000001</v>
      </c>
      <c r="C176" s="21">
        <v>5.1950551616158602</v>
      </c>
    </row>
    <row r="177" spans="1:3">
      <c r="A177" s="20">
        <v>45678</v>
      </c>
      <c r="B177" s="23">
        <v>377.6035</v>
      </c>
      <c r="C177" s="21">
        <v>5.1947212574664299</v>
      </c>
    </row>
    <row r="178" spans="1:3">
      <c r="A178" s="20">
        <v>45677</v>
      </c>
      <c r="B178" s="23">
        <v>377.54759999999999</v>
      </c>
      <c r="C178" s="21">
        <v>5.19438725656142</v>
      </c>
    </row>
    <row r="179" spans="1:3">
      <c r="A179" s="20">
        <v>45676</v>
      </c>
      <c r="B179" s="23">
        <v>377.49169999999998</v>
      </c>
      <c r="C179" s="21">
        <v>5.1940531588587699</v>
      </c>
    </row>
    <row r="180" spans="1:3">
      <c r="A180" s="20">
        <v>45675</v>
      </c>
      <c r="B180" s="23">
        <v>377.43579999999997</v>
      </c>
      <c r="C180" s="21">
        <v>5.1936896461769297</v>
      </c>
    </row>
    <row r="181" spans="1:3">
      <c r="A181" s="20">
        <v>45674</v>
      </c>
      <c r="B181" s="23">
        <v>377.37990000000002</v>
      </c>
      <c r="C181" s="21">
        <v>5.1933553505962902</v>
      </c>
    </row>
    <row r="182" spans="1:3">
      <c r="A182" s="20">
        <v>45673</v>
      </c>
      <c r="B182" s="23">
        <v>377.32409999999999</v>
      </c>
      <c r="C182" s="21">
        <v>5.1930488367891803</v>
      </c>
    </row>
    <row r="183" spans="1:3">
      <c r="A183" s="20">
        <v>45672</v>
      </c>
      <c r="B183" s="23">
        <v>377.26819999999998</v>
      </c>
      <c r="C183" s="21">
        <v>5.1926850207545101</v>
      </c>
    </row>
    <row r="184" spans="1:3">
      <c r="A184" s="20">
        <v>45671</v>
      </c>
      <c r="B184" s="23">
        <v>377.23540000000003</v>
      </c>
      <c r="C184" s="21">
        <v>5.1994376875920096</v>
      </c>
    </row>
    <row r="185" spans="1:3">
      <c r="A185" s="20">
        <v>45670</v>
      </c>
      <c r="B185" s="23">
        <v>377.20260000000002</v>
      </c>
      <c r="C185" s="21">
        <v>5.2061923960321996</v>
      </c>
    </row>
    <row r="186" spans="1:3">
      <c r="A186" s="20">
        <v>45669</v>
      </c>
      <c r="B186" s="23">
        <v>377.16980000000001</v>
      </c>
      <c r="C186" s="21">
        <v>5.2129784965613402</v>
      </c>
    </row>
    <row r="187" spans="1:3">
      <c r="A187" s="20">
        <v>45668</v>
      </c>
      <c r="B187" s="23">
        <v>377.13690000000003</v>
      </c>
      <c r="C187" s="21">
        <v>5.2197093977032996</v>
      </c>
    </row>
    <row r="188" spans="1:3">
      <c r="A188" s="20">
        <v>45667</v>
      </c>
      <c r="B188" s="23">
        <v>377.10410000000002</v>
      </c>
      <c r="C188" s="21">
        <v>5.2264702386167698</v>
      </c>
    </row>
    <row r="189" spans="1:3">
      <c r="A189" s="20">
        <v>45666</v>
      </c>
      <c r="B189" s="23">
        <v>377.07130000000001</v>
      </c>
      <c r="C189" s="21">
        <v>5.23323312484162</v>
      </c>
    </row>
    <row r="190" spans="1:3">
      <c r="A190" s="20">
        <v>45665</v>
      </c>
      <c r="B190" s="23">
        <v>377.0385</v>
      </c>
      <c r="C190" s="21">
        <v>5.2399980573061198</v>
      </c>
    </row>
    <row r="191" spans="1:3">
      <c r="A191" s="20">
        <v>45664</v>
      </c>
      <c r="B191" s="23">
        <v>377.00580000000002</v>
      </c>
      <c r="C191" s="21">
        <v>5.2467929534308304</v>
      </c>
    </row>
    <row r="192" spans="1:3">
      <c r="A192" s="20">
        <v>45663</v>
      </c>
      <c r="B192" s="23">
        <v>376.97300000000001</v>
      </c>
      <c r="C192" s="21">
        <v>5.2535619853863</v>
      </c>
    </row>
    <row r="193" spans="1:3">
      <c r="A193" s="20">
        <v>45662</v>
      </c>
      <c r="B193" s="23">
        <v>376.9402</v>
      </c>
      <c r="C193" s="21">
        <v>5.2603036724918999</v>
      </c>
    </row>
    <row r="194" spans="1:3">
      <c r="A194" s="20">
        <v>45661</v>
      </c>
      <c r="B194" s="23">
        <v>376.9074</v>
      </c>
      <c r="C194" s="21">
        <v>5.2670767970949202</v>
      </c>
    </row>
    <row r="195" spans="1:3">
      <c r="A195" s="20">
        <v>45660</v>
      </c>
      <c r="B195" s="23">
        <v>376.87459999999999</v>
      </c>
      <c r="C195" s="21">
        <v>5.2738225660387101</v>
      </c>
    </row>
    <row r="196" spans="1:3">
      <c r="A196" s="20">
        <v>45659</v>
      </c>
      <c r="B196" s="23">
        <v>376.84179999999998</v>
      </c>
      <c r="C196" s="21">
        <v>5.2805997870036503</v>
      </c>
    </row>
    <row r="197" spans="1:3">
      <c r="A197" s="20">
        <v>45658</v>
      </c>
      <c r="B197" s="23">
        <v>376.8091</v>
      </c>
      <c r="C197" s="21">
        <v>5.2873775833274399</v>
      </c>
    </row>
    <row r="198" spans="1:3">
      <c r="A198" s="20">
        <v>45657</v>
      </c>
      <c r="B198" s="23">
        <v>376.77629999999999</v>
      </c>
      <c r="C198" s="21">
        <v>5.29412948303702</v>
      </c>
    </row>
    <row r="199" spans="1:3">
      <c r="A199" s="20">
        <v>45656</v>
      </c>
      <c r="B199" s="23">
        <v>376.74349999999998</v>
      </c>
      <c r="C199" s="21">
        <v>5.3009128565758701</v>
      </c>
    </row>
    <row r="200" spans="1:3">
      <c r="A200" s="20">
        <v>45655</v>
      </c>
      <c r="B200" s="23">
        <v>376.71069999999997</v>
      </c>
      <c r="C200" s="21">
        <v>5.3076688473987899</v>
      </c>
    </row>
    <row r="201" spans="1:3">
      <c r="A201" s="20">
        <v>45654</v>
      </c>
      <c r="B201" s="23">
        <v>376.678</v>
      </c>
      <c r="C201" s="21">
        <v>5.31445484074976</v>
      </c>
    </row>
    <row r="202" spans="1:3">
      <c r="A202" s="20">
        <v>45653</v>
      </c>
      <c r="B202" s="23">
        <v>376.64519999999999</v>
      </c>
      <c r="C202" s="21">
        <v>5.3212149242888396</v>
      </c>
    </row>
    <row r="203" spans="1:3">
      <c r="A203" s="20">
        <v>45652</v>
      </c>
      <c r="B203" s="23">
        <v>376.61250000000001</v>
      </c>
      <c r="C203" s="21">
        <v>5.32800502067336</v>
      </c>
    </row>
    <row r="204" spans="1:3">
      <c r="A204" s="20">
        <v>45651</v>
      </c>
      <c r="B204" s="23">
        <v>376.5797</v>
      </c>
      <c r="C204" s="21">
        <v>5.3347692006461402</v>
      </c>
    </row>
    <row r="205" spans="1:3">
      <c r="A205" s="20">
        <v>45650</v>
      </c>
      <c r="B205" s="23">
        <v>376.54700000000003</v>
      </c>
      <c r="C205" s="21">
        <v>5.3415339337843903</v>
      </c>
    </row>
    <row r="206" spans="1:3">
      <c r="A206" s="20">
        <v>45649</v>
      </c>
      <c r="B206" s="23">
        <v>376.51420000000002</v>
      </c>
      <c r="C206" s="21">
        <v>5.3483022075582696</v>
      </c>
    </row>
    <row r="207" spans="1:3">
      <c r="A207" s="20">
        <v>45648</v>
      </c>
      <c r="B207" s="23">
        <v>376.48149999999998</v>
      </c>
      <c r="C207" s="21">
        <v>5.3550710321162702</v>
      </c>
    </row>
    <row r="208" spans="1:3">
      <c r="A208" s="20">
        <v>45647</v>
      </c>
      <c r="B208" s="23">
        <v>376.44869999999997</v>
      </c>
      <c r="C208" s="21">
        <v>5.3618434034078097</v>
      </c>
    </row>
    <row r="209" spans="1:3">
      <c r="A209" s="20">
        <v>45646</v>
      </c>
      <c r="B209" s="23">
        <v>376.416</v>
      </c>
      <c r="C209" s="21">
        <v>5.3686163230995199</v>
      </c>
    </row>
    <row r="210" spans="1:3">
      <c r="A210" s="20">
        <v>45645</v>
      </c>
      <c r="B210" s="23">
        <v>376.38319999999999</v>
      </c>
      <c r="C210" s="21">
        <v>5.3753927956298098</v>
      </c>
    </row>
    <row r="211" spans="1:3">
      <c r="A211" s="20">
        <v>45644</v>
      </c>
      <c r="B211" s="23">
        <v>376.35050000000001</v>
      </c>
      <c r="C211" s="21">
        <v>5.3821698141736896</v>
      </c>
    </row>
    <row r="212" spans="1:3">
      <c r="A212" s="20">
        <v>45643</v>
      </c>
      <c r="B212" s="23">
        <v>376.31779999999998</v>
      </c>
      <c r="C212" s="21">
        <v>5.3889488824763001</v>
      </c>
    </row>
    <row r="213" spans="1:3">
      <c r="A213" s="20">
        <v>45642</v>
      </c>
      <c r="B213" s="23">
        <v>376.28500000000003</v>
      </c>
      <c r="C213" s="21">
        <v>5.3957019919265301</v>
      </c>
    </row>
    <row r="214" spans="1:3">
      <c r="A214" s="20">
        <v>45641</v>
      </c>
      <c r="B214" s="23">
        <v>376.25229999999999</v>
      </c>
      <c r="C214" s="21">
        <v>5.4024851583002604</v>
      </c>
    </row>
    <row r="215" spans="1:3">
      <c r="A215" s="20">
        <v>45640</v>
      </c>
      <c r="B215" s="23">
        <v>376.26870000000002</v>
      </c>
      <c r="C215" s="21">
        <v>5.4158501138154396</v>
      </c>
    </row>
    <row r="216" spans="1:3">
      <c r="A216" s="20">
        <v>45639</v>
      </c>
      <c r="B216" s="23">
        <v>376.28500000000003</v>
      </c>
      <c r="C216" s="21">
        <v>5.4291892752133704</v>
      </c>
    </row>
    <row r="217" spans="1:3">
      <c r="A217" s="20">
        <v>45638</v>
      </c>
      <c r="B217" s="23">
        <v>376.30130000000003</v>
      </c>
      <c r="C217" s="21">
        <v>5.4425306568265199</v>
      </c>
    </row>
    <row r="218" spans="1:3">
      <c r="A218" s="20">
        <v>45637</v>
      </c>
      <c r="B218" s="23">
        <v>376.31760000000003</v>
      </c>
      <c r="C218" s="21">
        <v>5.4558742592092297</v>
      </c>
    </row>
    <row r="219" spans="1:3">
      <c r="A219" s="20">
        <v>45636</v>
      </c>
      <c r="B219" s="23">
        <v>376.33390000000003</v>
      </c>
      <c r="C219" s="21">
        <v>5.4692200829160598</v>
      </c>
    </row>
    <row r="220" spans="1:3">
      <c r="A220" s="20">
        <v>45635</v>
      </c>
      <c r="B220" s="23">
        <v>376.35019999999997</v>
      </c>
      <c r="C220" s="21">
        <v>5.48256812850172</v>
      </c>
    </row>
    <row r="221" spans="1:3">
      <c r="A221" s="20">
        <v>45634</v>
      </c>
      <c r="B221" s="23">
        <v>376.36660000000001</v>
      </c>
      <c r="C221" s="21">
        <v>5.4959464266243403</v>
      </c>
    </row>
    <row r="222" spans="1:3">
      <c r="A222" s="20">
        <v>45633</v>
      </c>
      <c r="B222" s="23">
        <v>376.38290000000001</v>
      </c>
      <c r="C222" s="21">
        <v>5.5092989199662696</v>
      </c>
    </row>
    <row r="223" spans="1:3">
      <c r="A223" s="20">
        <v>45632</v>
      </c>
      <c r="B223" s="23">
        <v>376.39920000000001</v>
      </c>
      <c r="C223" s="21">
        <v>5.5226536368527199</v>
      </c>
    </row>
    <row r="224" spans="1:3">
      <c r="A224" s="20">
        <v>45631</v>
      </c>
      <c r="B224" s="23">
        <v>376.41550000000001</v>
      </c>
      <c r="C224" s="21">
        <v>5.5360105778391402</v>
      </c>
    </row>
    <row r="225" spans="1:3">
      <c r="A225" s="20">
        <v>45630</v>
      </c>
      <c r="B225" s="23">
        <v>376.43180000000001</v>
      </c>
      <c r="C225" s="21">
        <v>5.5493697434811802</v>
      </c>
    </row>
    <row r="226" spans="1:3">
      <c r="A226" s="20">
        <v>45629</v>
      </c>
      <c r="B226" s="23">
        <v>376.44819999999999</v>
      </c>
      <c r="C226" s="21">
        <v>5.5627591761102</v>
      </c>
    </row>
    <row r="227" spans="1:3">
      <c r="A227" s="20">
        <v>45628</v>
      </c>
      <c r="B227" s="23">
        <v>376.46449999999999</v>
      </c>
      <c r="C227" s="21">
        <v>5.5760931871899002</v>
      </c>
    </row>
    <row r="228" spans="1:3">
      <c r="A228" s="20">
        <v>45627</v>
      </c>
      <c r="B228" s="23">
        <v>376.48079999999999</v>
      </c>
      <c r="C228" s="21">
        <v>5.5894590262556703</v>
      </c>
    </row>
    <row r="229" spans="1:3">
      <c r="A229" s="20">
        <v>45626</v>
      </c>
      <c r="B229" s="23">
        <v>376.49709999999999</v>
      </c>
      <c r="C229" s="21">
        <v>5.6028270922002497</v>
      </c>
    </row>
    <row r="230" spans="1:3">
      <c r="A230" s="20">
        <v>45625</v>
      </c>
      <c r="B230" s="23">
        <v>376.51350000000002</v>
      </c>
      <c r="C230" s="21">
        <v>5.6162254366927096</v>
      </c>
    </row>
    <row r="231" spans="1:3">
      <c r="A231" s="20">
        <v>45624</v>
      </c>
      <c r="B231" s="23">
        <v>376.52980000000002</v>
      </c>
      <c r="C231" s="21">
        <v>5.6295683276641997</v>
      </c>
    </row>
    <row r="232" spans="1:3">
      <c r="A232" s="20">
        <v>45623</v>
      </c>
      <c r="B232" s="23">
        <v>376.54610000000002</v>
      </c>
      <c r="C232" s="21">
        <v>5.6429430737014101</v>
      </c>
    </row>
    <row r="233" spans="1:3">
      <c r="A233" s="20">
        <v>45622</v>
      </c>
      <c r="B233" s="23">
        <v>376.56240000000003</v>
      </c>
      <c r="C233" s="21">
        <v>5.6563200488435701</v>
      </c>
    </row>
    <row r="234" spans="1:3">
      <c r="A234" s="20">
        <v>45621</v>
      </c>
      <c r="B234" s="23">
        <v>376.5788</v>
      </c>
      <c r="C234" s="21">
        <v>5.6696976627050004</v>
      </c>
    </row>
    <row r="235" spans="1:3">
      <c r="A235" s="20">
        <v>45620</v>
      </c>
      <c r="B235" s="23">
        <v>376.5951</v>
      </c>
      <c r="C235" s="21">
        <v>5.6830790938413998</v>
      </c>
    </row>
    <row r="236" spans="1:3">
      <c r="A236" s="20">
        <v>45619</v>
      </c>
      <c r="B236" s="23">
        <v>376.6114</v>
      </c>
      <c r="C236" s="21">
        <v>5.6964330919171902</v>
      </c>
    </row>
    <row r="237" spans="1:3">
      <c r="A237" s="20">
        <v>45618</v>
      </c>
      <c r="B237" s="23">
        <v>376.62779999999998</v>
      </c>
      <c r="C237" s="21">
        <v>5.7098470463912996</v>
      </c>
    </row>
    <row r="238" spans="1:3">
      <c r="A238" s="20">
        <v>45617</v>
      </c>
      <c r="B238" s="23">
        <v>376.64409999999998</v>
      </c>
      <c r="C238" s="21">
        <v>5.72320549134903</v>
      </c>
    </row>
    <row r="239" spans="1:3">
      <c r="A239" s="20">
        <v>45616</v>
      </c>
      <c r="B239" s="23">
        <v>376.66039999999998</v>
      </c>
      <c r="C239" s="21">
        <v>5.7365958388120797</v>
      </c>
    </row>
    <row r="240" spans="1:3">
      <c r="A240" s="20">
        <v>45615</v>
      </c>
      <c r="B240" s="23">
        <v>376.67680000000001</v>
      </c>
      <c r="C240" s="21">
        <v>5.7499868050026404</v>
      </c>
    </row>
    <row r="241" spans="1:3">
      <c r="A241" s="20">
        <v>45614</v>
      </c>
      <c r="B241" s="23">
        <v>376.69310000000002</v>
      </c>
      <c r="C241" s="21">
        <v>5.7633816151405801</v>
      </c>
    </row>
    <row r="242" spans="1:3">
      <c r="A242" s="20">
        <v>45613</v>
      </c>
      <c r="B242" s="23">
        <v>376.70940000000002</v>
      </c>
      <c r="C242" s="21">
        <v>5.7767489581938198</v>
      </c>
    </row>
    <row r="243" spans="1:3">
      <c r="A243" s="20">
        <v>45612</v>
      </c>
      <c r="B243" s="23">
        <v>376.72579999999999</v>
      </c>
      <c r="C243" s="21">
        <v>5.7901763123738803</v>
      </c>
    </row>
    <row r="244" spans="1:3">
      <c r="A244" s="20">
        <v>45611</v>
      </c>
      <c r="B244" s="23">
        <v>376.74209999999999</v>
      </c>
      <c r="C244" s="21">
        <v>5.8035481089764298</v>
      </c>
    </row>
    <row r="245" spans="1:3">
      <c r="A245" s="20">
        <v>45610</v>
      </c>
      <c r="B245" s="23">
        <v>376.71300000000002</v>
      </c>
      <c r="C245" s="21">
        <v>5.8137702586210498</v>
      </c>
    </row>
    <row r="246" spans="1:3">
      <c r="A246" s="20">
        <v>45609</v>
      </c>
      <c r="B246" s="23">
        <v>376.68389999999999</v>
      </c>
      <c r="C246" s="21">
        <v>5.8239662337727998</v>
      </c>
    </row>
    <row r="247" spans="1:3">
      <c r="A247" s="20">
        <v>45608</v>
      </c>
      <c r="B247" s="23">
        <v>376.65469999999999</v>
      </c>
      <c r="C247" s="21">
        <v>5.8341376515033403</v>
      </c>
    </row>
    <row r="248" spans="1:3">
      <c r="A248" s="20">
        <v>45607</v>
      </c>
      <c r="B248" s="23">
        <v>376.62560000000002</v>
      </c>
      <c r="C248" s="21">
        <v>5.8443704514745303</v>
      </c>
    </row>
    <row r="249" spans="1:3">
      <c r="A249" s="20">
        <v>45606</v>
      </c>
      <c r="B249" s="23">
        <v>376.59649999999999</v>
      </c>
      <c r="C249" s="21">
        <v>5.8545770584071999</v>
      </c>
    </row>
    <row r="250" spans="1:3">
      <c r="A250" s="20">
        <v>45605</v>
      </c>
      <c r="B250" s="23">
        <v>376.56740000000002</v>
      </c>
      <c r="C250" s="21">
        <v>5.8647872119109596</v>
      </c>
    </row>
    <row r="251" spans="1:3">
      <c r="A251" s="20">
        <v>45604</v>
      </c>
      <c r="B251" s="23">
        <v>376.53820000000002</v>
      </c>
      <c r="C251" s="21">
        <v>5.8749727958448403</v>
      </c>
    </row>
    <row r="252" spans="1:3">
      <c r="A252" s="20">
        <v>45603</v>
      </c>
      <c r="B252" s="23">
        <v>376.50909999999999</v>
      </c>
      <c r="C252" s="21">
        <v>5.8851602651986497</v>
      </c>
    </row>
    <row r="253" spans="1:3">
      <c r="A253" s="20">
        <v>45602</v>
      </c>
      <c r="B253" s="23">
        <v>376.48</v>
      </c>
      <c r="C253" s="21">
        <v>5.8953810565742</v>
      </c>
    </row>
    <row r="254" spans="1:3">
      <c r="A254" s="20">
        <v>45601</v>
      </c>
      <c r="B254" s="23">
        <v>376.45089999999999</v>
      </c>
      <c r="C254" s="21">
        <v>5.9056054019184803</v>
      </c>
    </row>
    <row r="255" spans="1:3">
      <c r="A255" s="20">
        <v>45600</v>
      </c>
      <c r="B255" s="23">
        <v>376.42180000000002</v>
      </c>
      <c r="C255" s="21">
        <v>5.91580350098425</v>
      </c>
    </row>
    <row r="256" spans="1:3">
      <c r="A256" s="20">
        <v>45599</v>
      </c>
      <c r="B256" s="23">
        <v>376.39269999999999</v>
      </c>
      <c r="C256" s="21">
        <v>5.9260349517666997</v>
      </c>
    </row>
    <row r="257" spans="1:3">
      <c r="A257" s="20">
        <v>45598</v>
      </c>
      <c r="B257" s="23">
        <v>376.36360000000002</v>
      </c>
      <c r="C257" s="21">
        <v>5.9362401438665504</v>
      </c>
    </row>
    <row r="258" spans="1:3">
      <c r="A258" s="20">
        <v>45597</v>
      </c>
      <c r="B258" s="23">
        <v>376.33449999999999</v>
      </c>
      <c r="C258" s="21">
        <v>5.9464488812314897</v>
      </c>
    </row>
    <row r="259" spans="1:3">
      <c r="A259" s="20">
        <v>45596</v>
      </c>
      <c r="B259" s="23">
        <v>376.30540000000002</v>
      </c>
      <c r="C259" s="21">
        <v>5.9566611657092796</v>
      </c>
    </row>
    <row r="260" spans="1:3">
      <c r="A260" s="20">
        <v>45595</v>
      </c>
      <c r="B260" s="23">
        <v>376.27629999999999</v>
      </c>
      <c r="C260" s="21">
        <v>5.9668769991489397</v>
      </c>
    </row>
    <row r="261" spans="1:3">
      <c r="A261" s="20">
        <v>45594</v>
      </c>
      <c r="B261" s="23">
        <v>376.24720000000002</v>
      </c>
      <c r="C261" s="21">
        <v>5.9770963834008102</v>
      </c>
    </row>
    <row r="262" spans="1:3">
      <c r="A262" s="20">
        <v>45593</v>
      </c>
      <c r="B262" s="23">
        <v>376.21809999999999</v>
      </c>
      <c r="C262" s="21">
        <v>5.9872894618150001</v>
      </c>
    </row>
    <row r="263" spans="1:3">
      <c r="A263" s="20">
        <v>45592</v>
      </c>
      <c r="B263" s="23">
        <v>376.18900000000002</v>
      </c>
      <c r="C263" s="21">
        <v>5.9975159451749702</v>
      </c>
    </row>
    <row r="264" spans="1:3">
      <c r="A264" s="20">
        <v>45591</v>
      </c>
      <c r="B264" s="23">
        <v>376.15989999999999</v>
      </c>
      <c r="C264" s="21">
        <v>6.0077459849020096</v>
      </c>
    </row>
    <row r="265" spans="1:3">
      <c r="A265" s="20">
        <v>45590</v>
      </c>
      <c r="B265" s="23">
        <v>376.13080000000002</v>
      </c>
      <c r="C265" s="21">
        <v>6.0179497001383702</v>
      </c>
    </row>
    <row r="266" spans="1:3">
      <c r="A266" s="20">
        <v>45589</v>
      </c>
      <c r="B266" s="23">
        <v>376.10180000000003</v>
      </c>
      <c r="C266" s="21">
        <v>6.0281851506560002</v>
      </c>
    </row>
    <row r="267" spans="1:3">
      <c r="A267" s="20">
        <v>45588</v>
      </c>
      <c r="B267" s="23">
        <v>376.0727</v>
      </c>
      <c r="C267" s="21">
        <v>6.0383959604925401</v>
      </c>
    </row>
    <row r="268" spans="1:3">
      <c r="A268" s="20">
        <v>45587</v>
      </c>
      <c r="B268" s="23">
        <v>376.04360000000003</v>
      </c>
      <c r="C268" s="21">
        <v>6.0486103179538402</v>
      </c>
    </row>
    <row r="269" spans="1:3">
      <c r="A269" s="20">
        <v>45586</v>
      </c>
      <c r="B269" s="23">
        <v>376.0145</v>
      </c>
      <c r="C269" s="21">
        <v>6.0588282248890701</v>
      </c>
    </row>
    <row r="270" spans="1:3">
      <c r="A270" s="20">
        <v>45585</v>
      </c>
      <c r="B270" s="23">
        <v>375.98540000000003</v>
      </c>
      <c r="C270" s="21">
        <v>6.0690496831487302</v>
      </c>
    </row>
    <row r="271" spans="1:3">
      <c r="A271" s="20">
        <v>45584</v>
      </c>
      <c r="B271" s="23">
        <v>375.95639999999997</v>
      </c>
      <c r="C271" s="21">
        <v>6.0793029104369598</v>
      </c>
    </row>
    <row r="272" spans="1:3">
      <c r="A272" s="20">
        <v>45583</v>
      </c>
      <c r="B272" s="23">
        <v>375.9273</v>
      </c>
      <c r="C272" s="21">
        <v>6.0895314818070698</v>
      </c>
    </row>
    <row r="273" spans="1:3">
      <c r="A273" s="20">
        <v>45582</v>
      </c>
      <c r="B273" s="23">
        <v>375.89819999999997</v>
      </c>
      <c r="C273" s="21">
        <v>6.0997336627079202</v>
      </c>
    </row>
    <row r="274" spans="1:3">
      <c r="A274" s="20">
        <v>45581</v>
      </c>
      <c r="B274" s="23">
        <v>375.86919999999998</v>
      </c>
      <c r="C274" s="21">
        <v>6.1099975721714399</v>
      </c>
    </row>
    <row r="275" spans="1:3">
      <c r="A275" s="20">
        <v>45580</v>
      </c>
      <c r="B275" s="23">
        <v>375.84010000000001</v>
      </c>
      <c r="C275" s="21">
        <v>6.1202068530301599</v>
      </c>
    </row>
    <row r="276" spans="1:3">
      <c r="A276" s="20">
        <v>45579</v>
      </c>
      <c r="B276" s="23">
        <v>375.84010000000001</v>
      </c>
      <c r="C276" s="21">
        <v>6.1448725747863104</v>
      </c>
    </row>
    <row r="277" spans="1:3">
      <c r="A277" s="20">
        <v>45578</v>
      </c>
      <c r="B277" s="23">
        <v>375.84010000000001</v>
      </c>
      <c r="C277" s="21">
        <v>6.1695497654095401</v>
      </c>
    </row>
    <row r="278" spans="1:3">
      <c r="A278" s="20">
        <v>45577</v>
      </c>
      <c r="B278" s="23">
        <v>375.84010000000001</v>
      </c>
      <c r="C278" s="21">
        <v>6.1942384329007698</v>
      </c>
    </row>
    <row r="279" spans="1:3">
      <c r="A279" s="20">
        <v>45576</v>
      </c>
      <c r="B279" s="23">
        <v>375.84010000000001</v>
      </c>
      <c r="C279" s="21">
        <v>6.2189385852683401</v>
      </c>
    </row>
    <row r="280" spans="1:3">
      <c r="A280" s="20">
        <v>45575</v>
      </c>
      <c r="B280" s="23">
        <v>375.84010000000001</v>
      </c>
      <c r="C280" s="21">
        <v>6.2436502305280799</v>
      </c>
    </row>
    <row r="281" spans="1:3">
      <c r="A281" s="20">
        <v>45574</v>
      </c>
      <c r="B281" s="23">
        <v>375.84010000000001</v>
      </c>
      <c r="C281" s="21">
        <v>6.2683433294464797</v>
      </c>
    </row>
    <row r="282" spans="1:3">
      <c r="A282" s="20">
        <v>45573</v>
      </c>
      <c r="B282" s="23">
        <v>375.84010000000001</v>
      </c>
      <c r="C282" s="21">
        <v>6.29307797057879</v>
      </c>
    </row>
    <row r="283" spans="1:3">
      <c r="A283" s="20">
        <v>45572</v>
      </c>
      <c r="B283" s="23">
        <v>375.84010000000001</v>
      </c>
      <c r="C283" s="21">
        <v>6.3177940534581696</v>
      </c>
    </row>
    <row r="284" spans="1:3">
      <c r="A284" s="20">
        <v>45571</v>
      </c>
      <c r="B284" s="23">
        <v>375.84010000000001</v>
      </c>
      <c r="C284" s="21">
        <v>6.3425216333577703</v>
      </c>
    </row>
    <row r="285" spans="1:3">
      <c r="A285" s="20">
        <v>45570</v>
      </c>
      <c r="B285" s="23">
        <v>375.84010000000001</v>
      </c>
      <c r="C285" s="21">
        <v>6.3672306150981202</v>
      </c>
    </row>
    <row r="286" spans="1:3">
      <c r="A286" s="20">
        <v>45569</v>
      </c>
      <c r="B286" s="23">
        <v>375.84010000000001</v>
      </c>
      <c r="C286" s="21">
        <v>6.3919811991061497</v>
      </c>
    </row>
    <row r="287" spans="1:3">
      <c r="A287" s="20">
        <v>45568</v>
      </c>
      <c r="B287" s="23">
        <v>375.84010000000001</v>
      </c>
      <c r="C287" s="21">
        <v>6.4167131730004501</v>
      </c>
    </row>
    <row r="288" spans="1:3">
      <c r="A288" s="20">
        <v>45567</v>
      </c>
      <c r="B288" s="23">
        <v>375.84010000000001</v>
      </c>
      <c r="C288" s="21">
        <v>6.4414566480012798</v>
      </c>
    </row>
    <row r="289" spans="1:3">
      <c r="A289" s="20">
        <v>45566</v>
      </c>
      <c r="B289" s="23">
        <v>375.84010000000001</v>
      </c>
      <c r="C289" s="21">
        <v>6.4662116321330503</v>
      </c>
    </row>
    <row r="290" spans="1:3">
      <c r="A290" s="20">
        <v>45565</v>
      </c>
      <c r="B290" s="23">
        <v>375.84010000000001</v>
      </c>
      <c r="C290" s="21">
        <v>6.49097813342763</v>
      </c>
    </row>
    <row r="291" spans="1:3">
      <c r="A291" s="20">
        <v>45564</v>
      </c>
      <c r="B291" s="23">
        <v>375.84010000000001</v>
      </c>
      <c r="C291" s="21">
        <v>6.5157259726104098</v>
      </c>
    </row>
    <row r="292" spans="1:3">
      <c r="A292" s="20">
        <v>45563</v>
      </c>
      <c r="B292" s="23">
        <v>375.84010000000001</v>
      </c>
      <c r="C292" s="21">
        <v>6.5405155183034296</v>
      </c>
    </row>
    <row r="293" spans="1:3">
      <c r="A293" s="20">
        <v>45562</v>
      </c>
      <c r="B293" s="23">
        <v>375.84010000000001</v>
      </c>
      <c r="C293" s="21">
        <v>6.5652863898778904</v>
      </c>
    </row>
    <row r="294" spans="1:3">
      <c r="A294" s="20">
        <v>45561</v>
      </c>
      <c r="B294" s="23">
        <v>375.84010000000001</v>
      </c>
      <c r="C294" s="21">
        <v>6.5900687826801398</v>
      </c>
    </row>
    <row r="295" spans="1:3">
      <c r="A295" s="20">
        <v>45560</v>
      </c>
      <c r="B295" s="23">
        <v>375.84010000000001</v>
      </c>
      <c r="C295" s="21">
        <v>6.6148627047500401</v>
      </c>
    </row>
    <row r="296" spans="1:3">
      <c r="A296" s="20">
        <v>45559</v>
      </c>
      <c r="B296" s="23">
        <v>375.84010000000001</v>
      </c>
      <c r="C296" s="21">
        <v>6.6396379065450697</v>
      </c>
    </row>
    <row r="297" spans="1:3">
      <c r="A297" s="20">
        <v>45558</v>
      </c>
      <c r="B297" s="23">
        <v>375.84010000000001</v>
      </c>
      <c r="C297" s="21">
        <v>6.66445489721516</v>
      </c>
    </row>
    <row r="298" spans="1:3">
      <c r="A298" s="20">
        <v>45557</v>
      </c>
      <c r="B298" s="23">
        <v>375.84010000000001</v>
      </c>
      <c r="C298" s="21">
        <v>6.6892531555558099</v>
      </c>
    </row>
    <row r="299" spans="1:3">
      <c r="A299" s="20">
        <v>45556</v>
      </c>
      <c r="B299" s="23">
        <v>375.84010000000001</v>
      </c>
      <c r="C299" s="21">
        <v>6.7140629471972204</v>
      </c>
    </row>
    <row r="300" spans="1:3">
      <c r="A300" s="20">
        <v>45555</v>
      </c>
      <c r="B300" s="23">
        <v>375.84010000000001</v>
      </c>
      <c r="C300" s="21">
        <v>6.7388842801872197</v>
      </c>
    </row>
    <row r="301" spans="1:3">
      <c r="A301" s="20">
        <v>45554</v>
      </c>
      <c r="B301" s="23">
        <v>375.84010000000001</v>
      </c>
      <c r="C301" s="21">
        <v>6.7636868345558101</v>
      </c>
    </row>
    <row r="302" spans="1:3">
      <c r="A302" s="20">
        <v>45553</v>
      </c>
      <c r="B302" s="23">
        <v>375.84010000000001</v>
      </c>
      <c r="C302" s="21">
        <v>6.7885312602998198</v>
      </c>
    </row>
    <row r="303" spans="1:3">
      <c r="A303" s="20">
        <v>45552</v>
      </c>
      <c r="B303" s="23">
        <v>375.84010000000001</v>
      </c>
      <c r="C303" s="21">
        <v>6.8133568953198704</v>
      </c>
    </row>
    <row r="304" spans="1:3">
      <c r="A304" s="20">
        <v>45551</v>
      </c>
      <c r="B304" s="23">
        <v>375.84010000000001</v>
      </c>
      <c r="C304" s="21">
        <v>6.8381940756895396</v>
      </c>
    </row>
    <row r="305" spans="1:3">
      <c r="A305" s="20">
        <v>45550</v>
      </c>
      <c r="B305" s="23">
        <v>375.84010000000001</v>
      </c>
      <c r="C305" s="21">
        <v>6.8630428094645897</v>
      </c>
    </row>
    <row r="306" spans="1:3">
      <c r="A306" s="20">
        <v>45549</v>
      </c>
      <c r="B306" s="23">
        <v>375.8159</v>
      </c>
      <c r="C306" s="21">
        <v>6.87336127810355</v>
      </c>
    </row>
    <row r="307" spans="1:3">
      <c r="A307" s="20">
        <v>45548</v>
      </c>
      <c r="B307" s="23">
        <v>375.79160000000002</v>
      </c>
      <c r="C307" s="21">
        <v>6.8836546266753196</v>
      </c>
    </row>
    <row r="308" spans="1:3">
      <c r="A308" s="20">
        <v>45547</v>
      </c>
      <c r="B308" s="23">
        <v>375.76740000000001</v>
      </c>
      <c r="C308" s="21">
        <v>6.8939493287826004</v>
      </c>
    </row>
    <row r="309" spans="1:3">
      <c r="A309" s="20">
        <v>45546</v>
      </c>
      <c r="B309" s="23">
        <v>375.7432</v>
      </c>
      <c r="C309" s="21">
        <v>6.9042777564234097</v>
      </c>
    </row>
    <row r="310" spans="1:3">
      <c r="A310" s="20">
        <v>45545</v>
      </c>
      <c r="B310" s="23">
        <v>375.71899999999999</v>
      </c>
      <c r="C310" s="21">
        <v>6.9145790874617798</v>
      </c>
    </row>
    <row r="311" spans="1:3">
      <c r="A311" s="20">
        <v>45544</v>
      </c>
      <c r="B311" s="23">
        <v>375.69479999999999</v>
      </c>
      <c r="C311" s="21">
        <v>6.92491416289469</v>
      </c>
    </row>
    <row r="312" spans="1:3">
      <c r="A312" s="20">
        <v>45543</v>
      </c>
      <c r="B312" s="23">
        <v>375.67059999999998</v>
      </c>
      <c r="C312" s="21">
        <v>6.9352221292676699</v>
      </c>
    </row>
    <row r="313" spans="1:3">
      <c r="A313" s="20">
        <v>45542</v>
      </c>
      <c r="B313" s="23">
        <v>375.6463</v>
      </c>
      <c r="C313" s="21">
        <v>6.9455049420612402</v>
      </c>
    </row>
    <row r="314" spans="1:3">
      <c r="A314" s="20">
        <v>45541</v>
      </c>
      <c r="B314" s="23">
        <v>375.62209999999999</v>
      </c>
      <c r="C314" s="21">
        <v>6.95581953776506</v>
      </c>
    </row>
    <row r="315" spans="1:3">
      <c r="A315" s="20">
        <v>45540</v>
      </c>
      <c r="B315" s="23">
        <v>375.59789999999998</v>
      </c>
      <c r="C315" s="21">
        <v>6.96613745282471</v>
      </c>
    </row>
    <row r="316" spans="1:3">
      <c r="A316" s="20">
        <v>45539</v>
      </c>
      <c r="B316" s="23">
        <v>375.57369999999997</v>
      </c>
      <c r="C316" s="21">
        <v>6.9764586888427598</v>
      </c>
    </row>
    <row r="317" spans="1:3">
      <c r="A317" s="20">
        <v>45538</v>
      </c>
      <c r="B317" s="23">
        <v>375.54950000000002</v>
      </c>
      <c r="C317" s="21">
        <v>6.9867832474228297</v>
      </c>
    </row>
    <row r="318" spans="1:3">
      <c r="A318" s="20">
        <v>45537</v>
      </c>
      <c r="B318" s="23">
        <v>375.52530000000002</v>
      </c>
      <c r="C318" s="21">
        <v>6.9971111301695297</v>
      </c>
    </row>
    <row r="319" spans="1:3">
      <c r="A319" s="20">
        <v>45536</v>
      </c>
      <c r="B319" s="23">
        <v>375.50110000000001</v>
      </c>
      <c r="C319" s="21">
        <v>7.0074118445316502</v>
      </c>
    </row>
    <row r="320" spans="1:3">
      <c r="A320" s="20">
        <v>45535</v>
      </c>
      <c r="B320" s="23">
        <v>375.4769</v>
      </c>
      <c r="C320" s="21">
        <v>7.0177463725734999</v>
      </c>
    </row>
    <row r="321" spans="1:3">
      <c r="A321" s="20">
        <v>45534</v>
      </c>
      <c r="B321" s="23">
        <v>375.45269999999999</v>
      </c>
      <c r="C321" s="21">
        <v>7.0280537197433102</v>
      </c>
    </row>
    <row r="322" spans="1:3">
      <c r="A322" s="20">
        <v>45533</v>
      </c>
      <c r="B322" s="23">
        <v>375.42849999999999</v>
      </c>
      <c r="C322" s="21">
        <v>7.0383948994973196</v>
      </c>
    </row>
    <row r="323" spans="1:3">
      <c r="A323" s="20">
        <v>45532</v>
      </c>
      <c r="B323" s="23">
        <v>375.40429999999998</v>
      </c>
      <c r="C323" s="21">
        <v>7.0487088858820801</v>
      </c>
    </row>
    <row r="324" spans="1:3">
      <c r="A324" s="20">
        <v>45531</v>
      </c>
      <c r="B324" s="23">
        <v>375.38010000000003</v>
      </c>
      <c r="C324" s="21">
        <v>7.0590261903532801</v>
      </c>
    </row>
    <row r="325" spans="1:3">
      <c r="A325" s="20">
        <v>45530</v>
      </c>
      <c r="B325" s="23">
        <v>375.35590000000002</v>
      </c>
      <c r="C325" s="21">
        <v>7.0693468145123699</v>
      </c>
    </row>
    <row r="326" spans="1:3">
      <c r="A326" s="20">
        <v>45529</v>
      </c>
      <c r="B326" s="23">
        <v>375.33170000000001</v>
      </c>
      <c r="C326" s="21">
        <v>7.0796707599618003</v>
      </c>
    </row>
    <row r="327" spans="1:3">
      <c r="A327" s="20">
        <v>45528</v>
      </c>
      <c r="B327" s="23">
        <v>375.3075</v>
      </c>
      <c r="C327" s="21">
        <v>7.0899980283050903</v>
      </c>
    </row>
    <row r="328" spans="1:3">
      <c r="A328" s="20">
        <v>45527</v>
      </c>
      <c r="B328" s="23">
        <v>375.28339999999997</v>
      </c>
      <c r="C328" s="21">
        <v>7.1003571596744903</v>
      </c>
    </row>
    <row r="329" spans="1:3">
      <c r="A329" s="20">
        <v>45526</v>
      </c>
      <c r="B329" s="23">
        <v>375.25920000000002</v>
      </c>
      <c r="C329" s="21">
        <v>7.1106910832143297</v>
      </c>
    </row>
    <row r="330" spans="1:3">
      <c r="A330" s="20">
        <v>45525</v>
      </c>
      <c r="B330" s="23">
        <v>375.23500000000001</v>
      </c>
      <c r="C330" s="21">
        <v>7.1209977538662201</v>
      </c>
    </row>
    <row r="331" spans="1:3">
      <c r="A331" s="20">
        <v>45524</v>
      </c>
      <c r="B331" s="23">
        <v>375.21080000000001</v>
      </c>
      <c r="C331" s="21">
        <v>7.13133832656073</v>
      </c>
    </row>
    <row r="332" spans="1:3">
      <c r="A332" s="20">
        <v>45523</v>
      </c>
      <c r="B332" s="23">
        <v>375.1866</v>
      </c>
      <c r="C332" s="21">
        <v>7.1416516338400404</v>
      </c>
    </row>
    <row r="333" spans="1:3">
      <c r="A333" s="20">
        <v>45522</v>
      </c>
      <c r="B333" s="23">
        <v>375.16239999999999</v>
      </c>
      <c r="C333" s="21">
        <v>7.1519682579033903</v>
      </c>
    </row>
    <row r="334" spans="1:3">
      <c r="A334" s="20">
        <v>45521</v>
      </c>
      <c r="B334" s="23">
        <v>375.13830000000002</v>
      </c>
      <c r="C334" s="21">
        <v>7.16234737851841</v>
      </c>
    </row>
    <row r="335" spans="1:3">
      <c r="A335" s="20">
        <v>45520</v>
      </c>
      <c r="B335" s="23">
        <v>375.11410000000001</v>
      </c>
      <c r="C335" s="21">
        <v>7.1726706534201501</v>
      </c>
    </row>
    <row r="336" spans="1:3">
      <c r="A336" s="20">
        <v>45519</v>
      </c>
      <c r="B336" s="23">
        <v>375.0899</v>
      </c>
      <c r="C336" s="21">
        <v>7.18299724991485</v>
      </c>
    </row>
    <row r="337" spans="1:3">
      <c r="A337" s="20">
        <v>45518</v>
      </c>
      <c r="B337" s="23">
        <v>375.05119999999999</v>
      </c>
      <c r="C337" s="21">
        <v>7.1822907587184499</v>
      </c>
    </row>
    <row r="338" spans="1:3">
      <c r="A338" s="20">
        <v>45517</v>
      </c>
      <c r="B338" s="23">
        <v>375.01260000000002</v>
      </c>
      <c r="C338" s="21">
        <v>7.1816127118266202</v>
      </c>
    </row>
    <row r="339" spans="1:3">
      <c r="A339" s="20">
        <v>45516</v>
      </c>
      <c r="B339" s="23">
        <v>374.97390000000001</v>
      </c>
      <c r="C339" s="21">
        <v>7.1809059503549202</v>
      </c>
    </row>
    <row r="340" spans="1:3">
      <c r="A340" s="20">
        <v>45515</v>
      </c>
      <c r="B340" s="23">
        <v>374.93529999999998</v>
      </c>
      <c r="C340" s="21">
        <v>7.1802276386322497</v>
      </c>
    </row>
    <row r="341" spans="1:3">
      <c r="A341" s="20">
        <v>45514</v>
      </c>
      <c r="B341" s="23">
        <v>374.89659999999998</v>
      </c>
      <c r="C341" s="21">
        <v>7.1795206067290698</v>
      </c>
    </row>
    <row r="342" spans="1:3">
      <c r="A342" s="20">
        <v>45513</v>
      </c>
      <c r="B342" s="23">
        <v>374.858</v>
      </c>
      <c r="C342" s="21">
        <v>7.1788420300214399</v>
      </c>
    </row>
    <row r="343" spans="1:3">
      <c r="A343" s="20">
        <v>45512</v>
      </c>
      <c r="B343" s="23">
        <v>374.81939999999997</v>
      </c>
      <c r="C343" s="21">
        <v>7.1781633221452097</v>
      </c>
    </row>
    <row r="344" spans="1:3">
      <c r="A344" s="20">
        <v>45511</v>
      </c>
      <c r="B344" s="23">
        <v>374.78070000000002</v>
      </c>
      <c r="C344" s="21">
        <v>7.1774558856836901</v>
      </c>
    </row>
    <row r="345" spans="1:3">
      <c r="A345" s="20">
        <v>45510</v>
      </c>
      <c r="B345" s="23">
        <v>374.74209999999999</v>
      </c>
      <c r="C345" s="21">
        <v>7.1767769125916701</v>
      </c>
    </row>
    <row r="346" spans="1:3">
      <c r="A346" s="20">
        <v>45509</v>
      </c>
      <c r="B346" s="23">
        <v>374.70350000000002</v>
      </c>
      <c r="C346" s="21">
        <v>7.17609780821636</v>
      </c>
    </row>
    <row r="347" spans="1:3">
      <c r="A347" s="20">
        <v>45508</v>
      </c>
      <c r="B347" s="23">
        <v>374.66489999999999</v>
      </c>
      <c r="C347" s="21">
        <v>7.1754185725196704</v>
      </c>
    </row>
    <row r="348" spans="1:3">
      <c r="A348" s="20">
        <v>45507</v>
      </c>
      <c r="B348" s="23">
        <v>374.62630000000001</v>
      </c>
      <c r="C348" s="21">
        <v>7.1747085444516401</v>
      </c>
    </row>
    <row r="349" spans="1:3">
      <c r="A349" s="20">
        <v>45506</v>
      </c>
      <c r="B349" s="23">
        <v>374.58769999999998</v>
      </c>
      <c r="C349" s="21">
        <v>7.1740290432272298</v>
      </c>
    </row>
    <row r="350" spans="1:3">
      <c r="A350" s="20">
        <v>45505</v>
      </c>
      <c r="B350" s="23">
        <v>374.54899999999998</v>
      </c>
      <c r="C350" s="21">
        <v>7.1733207966013497</v>
      </c>
    </row>
    <row r="351" spans="1:3">
      <c r="A351" s="20">
        <v>45504</v>
      </c>
      <c r="B351" s="23">
        <v>374.5104</v>
      </c>
      <c r="C351" s="21">
        <v>7.1726103603990303</v>
      </c>
    </row>
    <row r="352" spans="1:3">
      <c r="A352" s="20">
        <v>45503</v>
      </c>
      <c r="B352" s="23">
        <v>374.47190000000001</v>
      </c>
      <c r="C352" s="21">
        <v>7.1719590787041803</v>
      </c>
    </row>
    <row r="353" spans="1:3">
      <c r="A353" s="20">
        <v>45502</v>
      </c>
      <c r="B353" s="23">
        <v>374.43329999999997</v>
      </c>
      <c r="C353" s="21">
        <v>7.1712790487334104</v>
      </c>
    </row>
    <row r="354" spans="1:3">
      <c r="A354" s="20">
        <v>45501</v>
      </c>
      <c r="B354" s="23">
        <v>374.3947</v>
      </c>
      <c r="C354" s="21">
        <v>7.1705682095649399</v>
      </c>
    </row>
    <row r="355" spans="1:3">
      <c r="A355" s="20">
        <v>45500</v>
      </c>
      <c r="B355" s="23">
        <v>374.35610000000003</v>
      </c>
      <c r="C355" s="21">
        <v>7.1698879136036098</v>
      </c>
    </row>
    <row r="356" spans="1:3">
      <c r="A356" s="20">
        <v>45499</v>
      </c>
      <c r="B356" s="23">
        <v>374.3175</v>
      </c>
      <c r="C356" s="21">
        <v>7.1691768028374003</v>
      </c>
    </row>
    <row r="357" spans="1:3">
      <c r="A357" s="20">
        <v>45498</v>
      </c>
      <c r="B357" s="23">
        <v>374.27890000000002</v>
      </c>
      <c r="C357" s="21">
        <v>7.16849624073068</v>
      </c>
    </row>
    <row r="358" spans="1:3">
      <c r="A358" s="20">
        <v>45497</v>
      </c>
      <c r="B358" s="23">
        <v>374.24040000000002</v>
      </c>
      <c r="C358" s="21">
        <v>7.1678134942987004</v>
      </c>
    </row>
    <row r="359" spans="1:3">
      <c r="A359" s="20">
        <v>45496</v>
      </c>
      <c r="B359" s="23">
        <v>374.20179999999999</v>
      </c>
      <c r="C359" s="21">
        <v>7.1671326686635597</v>
      </c>
    </row>
    <row r="360" spans="1:3">
      <c r="A360" s="20">
        <v>45495</v>
      </c>
      <c r="B360" s="23">
        <v>374.16320000000002</v>
      </c>
      <c r="C360" s="21">
        <v>7.1664210169953702</v>
      </c>
    </row>
    <row r="361" spans="1:3">
      <c r="A361" s="20">
        <v>45494</v>
      </c>
      <c r="B361" s="23">
        <v>374.12470000000002</v>
      </c>
      <c r="C361" s="21">
        <v>7.1657685693039799</v>
      </c>
    </row>
    <row r="362" spans="1:3">
      <c r="A362" s="20">
        <v>45493</v>
      </c>
      <c r="B362" s="23">
        <v>374.08609999999999</v>
      </c>
      <c r="C362" s="21">
        <v>7.1650566483334401</v>
      </c>
    </row>
    <row r="363" spans="1:3">
      <c r="A363" s="20">
        <v>45492</v>
      </c>
      <c r="B363" s="23">
        <v>374.04759999999999</v>
      </c>
      <c r="C363" s="21">
        <v>7.1643732398199598</v>
      </c>
    </row>
    <row r="364" spans="1:3">
      <c r="A364" s="20">
        <v>45491</v>
      </c>
      <c r="B364" s="23">
        <v>374.00900000000001</v>
      </c>
      <c r="C364" s="21">
        <v>7.1636610466314004</v>
      </c>
    </row>
    <row r="365" spans="1:3">
      <c r="A365" s="20">
        <v>45490</v>
      </c>
      <c r="B365" s="23">
        <v>373.97050000000002</v>
      </c>
      <c r="C365" s="21">
        <v>7.1630080794100399</v>
      </c>
    </row>
    <row r="366" spans="1:3">
      <c r="A366" s="20">
        <v>45489</v>
      </c>
      <c r="B366" s="23">
        <v>373.93189999999998</v>
      </c>
      <c r="C366" s="21">
        <v>7.16229561660779</v>
      </c>
    </row>
    <row r="367" spans="1:3">
      <c r="A367" s="20">
        <v>45488</v>
      </c>
      <c r="B367" s="23">
        <v>373.89339999999999</v>
      </c>
      <c r="C367" s="21">
        <v>7.1616116771819103</v>
      </c>
    </row>
    <row r="368" spans="1:3">
      <c r="A368" s="20">
        <v>45487</v>
      </c>
      <c r="B368" s="23">
        <v>373.8399</v>
      </c>
      <c r="C368" s="21">
        <v>7.1616041222715801</v>
      </c>
    </row>
    <row r="369" spans="1:3">
      <c r="A369" s="20">
        <v>45486</v>
      </c>
      <c r="B369" s="23">
        <v>373.78640000000001</v>
      </c>
      <c r="C369" s="21">
        <v>7.16159656519965</v>
      </c>
    </row>
    <row r="370" spans="1:3">
      <c r="A370" s="20">
        <v>45485</v>
      </c>
      <c r="B370" s="23">
        <v>373.733</v>
      </c>
      <c r="C370" s="21">
        <v>7.16161767927413</v>
      </c>
    </row>
    <row r="371" spans="1:3">
      <c r="A371" s="20">
        <v>45484</v>
      </c>
      <c r="B371" s="23">
        <v>373.67950000000002</v>
      </c>
      <c r="C371" s="21">
        <v>7.1616101219793702</v>
      </c>
    </row>
    <row r="372" spans="1:3">
      <c r="A372" s="20">
        <v>45483</v>
      </c>
      <c r="B372" s="23">
        <v>373.62610000000001</v>
      </c>
      <c r="C372" s="21">
        <v>7.1616312440378298</v>
      </c>
    </row>
    <row r="373" spans="1:3">
      <c r="A373" s="20">
        <v>45482</v>
      </c>
      <c r="B373" s="23">
        <v>373.57260000000002</v>
      </c>
      <c r="C373" s="21">
        <v>7.1615929465518198</v>
      </c>
    </row>
    <row r="374" spans="1:3">
      <c r="A374" s="20">
        <v>45481</v>
      </c>
      <c r="B374" s="23">
        <v>373.51920000000001</v>
      </c>
      <c r="C374" s="21">
        <v>7.1616140721930899</v>
      </c>
    </row>
    <row r="375" spans="1:3">
      <c r="A375" s="20">
        <v>45480</v>
      </c>
      <c r="B375" s="23">
        <v>373.4658</v>
      </c>
      <c r="C375" s="21">
        <v>7.1616044551172697</v>
      </c>
    </row>
    <row r="376" spans="1:3">
      <c r="A376" s="20">
        <v>45479</v>
      </c>
      <c r="B376" s="23">
        <v>373.41239999999999</v>
      </c>
      <c r="C376" s="21">
        <v>7.1616255884510398</v>
      </c>
    </row>
    <row r="377" spans="1:3">
      <c r="A377" s="20">
        <v>45478</v>
      </c>
      <c r="B377" s="23">
        <v>373.35899999999998</v>
      </c>
      <c r="C377" s="21">
        <v>7.1616159702692901</v>
      </c>
    </row>
    <row r="378" spans="1:3">
      <c r="A378" s="20">
        <v>45477</v>
      </c>
      <c r="B378" s="23">
        <v>373.30560000000003</v>
      </c>
      <c r="C378" s="21">
        <v>7.1616063493375801</v>
      </c>
    </row>
    <row r="379" spans="1:3">
      <c r="A379" s="20">
        <v>45476</v>
      </c>
      <c r="B379" s="23">
        <v>373.25220000000002</v>
      </c>
      <c r="C379" s="21">
        <v>7.1615967256547197</v>
      </c>
    </row>
    <row r="380" spans="1:3">
      <c r="A380" s="20">
        <v>45475</v>
      </c>
      <c r="B380" s="23">
        <v>373.19880000000001</v>
      </c>
      <c r="C380" s="21">
        <v>7.1616178699750996</v>
      </c>
    </row>
    <row r="381" spans="1:3">
      <c r="A381" s="20">
        <v>45474</v>
      </c>
      <c r="B381" s="23">
        <v>373.1454</v>
      </c>
      <c r="C381" s="21">
        <v>7.1616082451844196</v>
      </c>
    </row>
    <row r="382" spans="1:3">
      <c r="A382" s="20">
        <v>45473</v>
      </c>
      <c r="B382" s="23">
        <v>373.09210000000002</v>
      </c>
      <c r="C382" s="21">
        <v>7.1616273402070298</v>
      </c>
    </row>
    <row r="383" spans="1:3">
      <c r="A383" s="20">
        <v>45472</v>
      </c>
      <c r="B383" s="23">
        <v>373.03870000000001</v>
      </c>
      <c r="C383" s="21">
        <v>7.1616177140173303</v>
      </c>
    </row>
    <row r="384" spans="1:3">
      <c r="A384" s="20">
        <v>45471</v>
      </c>
      <c r="B384" s="23">
        <v>372.98540000000003</v>
      </c>
      <c r="C384" s="21">
        <v>7.1616060274873101</v>
      </c>
    </row>
    <row r="385" spans="1:3">
      <c r="A385" s="20">
        <v>45470</v>
      </c>
      <c r="B385" s="23">
        <v>372.93200000000002</v>
      </c>
      <c r="C385" s="21">
        <v>7.1615963954955202</v>
      </c>
    </row>
    <row r="386" spans="1:3">
      <c r="A386" s="20">
        <v>45469</v>
      </c>
      <c r="B386" s="23">
        <v>372.87869999999998</v>
      </c>
      <c r="C386" s="21">
        <v>7.1616154997482502</v>
      </c>
    </row>
    <row r="387" spans="1:3">
      <c r="A387" s="20">
        <v>45468</v>
      </c>
      <c r="B387" s="23">
        <v>372.8254</v>
      </c>
      <c r="C387" s="21">
        <v>7.1616346094701697</v>
      </c>
    </row>
    <row r="388" spans="1:3">
      <c r="A388" s="20">
        <v>45467</v>
      </c>
      <c r="B388" s="23">
        <v>372.77199999999999</v>
      </c>
      <c r="C388" s="21">
        <v>7.1615941714432596</v>
      </c>
    </row>
    <row r="389" spans="1:3">
      <c r="A389" s="20">
        <v>45466</v>
      </c>
      <c r="B389" s="23">
        <v>372.71870000000001</v>
      </c>
      <c r="C389" s="21">
        <v>7.1616132835781796</v>
      </c>
    </row>
    <row r="390" spans="1:3">
      <c r="A390" s="20">
        <v>45465</v>
      </c>
      <c r="B390" s="23">
        <v>372.66539999999998</v>
      </c>
      <c r="C390" s="21">
        <v>7.1616015863804998</v>
      </c>
    </row>
    <row r="391" spans="1:3">
      <c r="A391" s="20">
        <v>45464</v>
      </c>
      <c r="B391" s="23">
        <v>372.6121</v>
      </c>
      <c r="C391" s="21">
        <v>7.1615898858389402</v>
      </c>
    </row>
    <row r="392" spans="1:3">
      <c r="A392" s="20">
        <v>45463</v>
      </c>
      <c r="B392" s="23">
        <v>372.55880000000002</v>
      </c>
      <c r="C392" s="21">
        <v>7.1616090055620303</v>
      </c>
    </row>
    <row r="393" spans="1:3">
      <c r="A393" s="20">
        <v>45462</v>
      </c>
      <c r="B393" s="23">
        <v>372.50560000000002</v>
      </c>
      <c r="C393" s="21">
        <v>7.1616260705213604</v>
      </c>
    </row>
    <row r="394" spans="1:3">
      <c r="A394" s="20">
        <v>45461</v>
      </c>
      <c r="B394" s="23">
        <v>372.45229999999998</v>
      </c>
      <c r="C394" s="21">
        <v>7.1616143684581699</v>
      </c>
    </row>
    <row r="395" spans="1:3">
      <c r="A395" s="20">
        <v>45460</v>
      </c>
      <c r="B395" s="23">
        <v>372.399</v>
      </c>
      <c r="C395" s="21">
        <v>7.1616026630477903</v>
      </c>
    </row>
    <row r="396" spans="1:3">
      <c r="A396" s="20">
        <v>45459</v>
      </c>
      <c r="B396" s="23">
        <v>372.3458</v>
      </c>
      <c r="C396" s="21">
        <v>7.16161973442268</v>
      </c>
    </row>
    <row r="397" spans="1:3">
      <c r="A397" s="20">
        <v>45458</v>
      </c>
      <c r="B397" s="23">
        <v>372.29250000000002</v>
      </c>
      <c r="C397" s="21">
        <v>7.1616080264308497</v>
      </c>
    </row>
    <row r="398" spans="1:3">
      <c r="A398" s="20">
        <v>45457</v>
      </c>
      <c r="B398" s="23">
        <v>372.22190000000001</v>
      </c>
      <c r="C398" s="21">
        <v>7.1681237065436099</v>
      </c>
    </row>
    <row r="399" spans="1:3">
      <c r="A399" s="20">
        <v>45456</v>
      </c>
      <c r="B399" s="23">
        <v>372.15129999999999</v>
      </c>
      <c r="C399" s="21">
        <v>7.17467351652944</v>
      </c>
    </row>
    <row r="400" spans="1:3">
      <c r="A400" s="20">
        <v>45455</v>
      </c>
      <c r="B400" s="23">
        <v>372.08069999999998</v>
      </c>
      <c r="C400" s="21">
        <v>7.1811957386855498</v>
      </c>
    </row>
    <row r="401" spans="1:3">
      <c r="A401" s="20">
        <v>45454</v>
      </c>
      <c r="B401" s="23">
        <v>372.01010000000002</v>
      </c>
      <c r="C401" s="21">
        <v>7.1877212307467104</v>
      </c>
    </row>
    <row r="402" spans="1:3">
      <c r="A402" s="20">
        <v>45453</v>
      </c>
      <c r="B402" s="23">
        <v>371.93950000000001</v>
      </c>
      <c r="C402" s="21">
        <v>7.1942499951725898</v>
      </c>
    </row>
    <row r="403" spans="1:3">
      <c r="A403" s="20">
        <v>45452</v>
      </c>
      <c r="B403" s="23">
        <v>371.8689</v>
      </c>
      <c r="C403" s="21">
        <v>7.2007511310495396</v>
      </c>
    </row>
    <row r="404" spans="1:3">
      <c r="A404" s="20">
        <v>45451</v>
      </c>
      <c r="B404" s="23">
        <v>371.79829999999998</v>
      </c>
      <c r="C404" s="21">
        <v>7.2072555249618402</v>
      </c>
    </row>
    <row r="405" spans="1:3">
      <c r="A405" s="20">
        <v>45450</v>
      </c>
      <c r="B405" s="23">
        <v>371.7278</v>
      </c>
      <c r="C405" s="21">
        <v>7.2138229440034998</v>
      </c>
    </row>
    <row r="406" spans="1:3">
      <c r="A406" s="20">
        <v>45449</v>
      </c>
      <c r="B406" s="23">
        <v>371.65730000000002</v>
      </c>
      <c r="C406" s="21">
        <v>7.2203317951876604</v>
      </c>
    </row>
    <row r="407" spans="1:3">
      <c r="A407" s="20">
        <v>45448</v>
      </c>
      <c r="B407" s="23">
        <v>371.58670000000001</v>
      </c>
      <c r="C407" s="21">
        <v>7.2268459923830397</v>
      </c>
    </row>
    <row r="408" spans="1:3">
      <c r="A408" s="20">
        <v>45447</v>
      </c>
      <c r="B408" s="23">
        <v>371.51620000000003</v>
      </c>
      <c r="C408" s="21">
        <v>7.2333923211539002</v>
      </c>
    </row>
    <row r="409" spans="1:3">
      <c r="A409" s="20">
        <v>45446</v>
      </c>
      <c r="B409" s="23">
        <v>371.44569999999999</v>
      </c>
      <c r="C409" s="21">
        <v>7.2399109735313996</v>
      </c>
    </row>
    <row r="410" spans="1:3">
      <c r="A410" s="20">
        <v>45445</v>
      </c>
      <c r="B410" s="23">
        <v>371.37529999999998</v>
      </c>
      <c r="C410" s="21">
        <v>7.2464617720638804</v>
      </c>
    </row>
    <row r="411" spans="1:3">
      <c r="A411" s="20">
        <v>45444</v>
      </c>
      <c r="B411" s="23">
        <v>371.3048</v>
      </c>
      <c r="C411" s="21">
        <v>7.2529869700715199</v>
      </c>
    </row>
    <row r="412" spans="1:3">
      <c r="A412" s="20">
        <v>45443</v>
      </c>
      <c r="B412" s="23">
        <v>371.23430000000002</v>
      </c>
      <c r="C412" s="21">
        <v>7.2594844508342202</v>
      </c>
    </row>
    <row r="413" spans="1:3">
      <c r="A413" s="20">
        <v>45442</v>
      </c>
      <c r="B413" s="23">
        <v>371.16390000000001</v>
      </c>
      <c r="C413" s="21">
        <v>7.2660450873326496</v>
      </c>
    </row>
    <row r="414" spans="1:3">
      <c r="A414" s="20">
        <v>45441</v>
      </c>
      <c r="B414" s="23">
        <v>371.09350000000001</v>
      </c>
      <c r="C414" s="21">
        <v>7.2725780066839096</v>
      </c>
    </row>
    <row r="415" spans="1:3">
      <c r="A415" s="20">
        <v>45440</v>
      </c>
      <c r="B415" s="23">
        <v>371.0231</v>
      </c>
      <c r="C415" s="21">
        <v>7.2791142014824999</v>
      </c>
    </row>
    <row r="416" spans="1:3">
      <c r="A416" s="20">
        <v>45439</v>
      </c>
      <c r="B416" s="23">
        <v>370.95269999999999</v>
      </c>
      <c r="C416" s="21">
        <v>7.2856226454165798</v>
      </c>
    </row>
    <row r="417" spans="1:3">
      <c r="A417" s="20">
        <v>45438</v>
      </c>
      <c r="B417" s="23">
        <v>370.88229999999999</v>
      </c>
      <c r="C417" s="21">
        <v>7.2921653888289901</v>
      </c>
    </row>
    <row r="418" spans="1:3">
      <c r="A418" s="20">
        <v>45437</v>
      </c>
      <c r="B418" s="23">
        <v>370.81189999999998</v>
      </c>
      <c r="C418" s="21">
        <v>7.2986803669682301</v>
      </c>
    </row>
    <row r="419" spans="1:3">
      <c r="A419" s="20">
        <v>45436</v>
      </c>
      <c r="B419" s="23">
        <v>370.74149999999997</v>
      </c>
      <c r="C419" s="21">
        <v>7.3051986110640801</v>
      </c>
    </row>
    <row r="420" spans="1:3">
      <c r="A420" s="20">
        <v>45435</v>
      </c>
      <c r="B420" s="23">
        <v>370.6712</v>
      </c>
      <c r="C420" s="21">
        <v>7.3117490742303497</v>
      </c>
    </row>
    <row r="421" spans="1:3">
      <c r="A421" s="20">
        <v>45434</v>
      </c>
      <c r="B421" s="23">
        <v>370.60090000000002</v>
      </c>
      <c r="C421" s="21">
        <v>7.3183028227888398</v>
      </c>
    </row>
    <row r="422" spans="1:3">
      <c r="A422" s="20">
        <v>45433</v>
      </c>
      <c r="B422" s="23">
        <v>370.53050000000002</v>
      </c>
      <c r="C422" s="21">
        <v>7.3247998072078104</v>
      </c>
    </row>
    <row r="423" spans="1:3">
      <c r="A423" s="20">
        <v>45432</v>
      </c>
      <c r="B423" s="23">
        <v>370.46019999999999</v>
      </c>
      <c r="C423" s="21">
        <v>7.3313290204971304</v>
      </c>
    </row>
    <row r="424" spans="1:3">
      <c r="A424" s="20">
        <v>45431</v>
      </c>
      <c r="B424" s="23">
        <v>370.38990000000001</v>
      </c>
      <c r="C424" s="21">
        <v>7.3378615071991398</v>
      </c>
    </row>
    <row r="425" spans="1:3">
      <c r="A425" s="20">
        <v>45430</v>
      </c>
      <c r="B425" s="23">
        <v>370.31970000000001</v>
      </c>
      <c r="C425" s="21">
        <v>7.3444262567369298</v>
      </c>
    </row>
    <row r="426" spans="1:3">
      <c r="A426" s="20">
        <v>45429</v>
      </c>
      <c r="B426" s="23">
        <v>370.24939999999998</v>
      </c>
      <c r="C426" s="21">
        <v>7.3509653049236299</v>
      </c>
    </row>
    <row r="427" spans="1:3">
      <c r="A427" s="20">
        <v>45428</v>
      </c>
      <c r="B427" s="23">
        <v>370.17910000000001</v>
      </c>
      <c r="C427" s="21">
        <v>7.3574764986377996</v>
      </c>
    </row>
    <row r="428" spans="1:3">
      <c r="A428" s="20">
        <v>45427</v>
      </c>
      <c r="B428" s="23">
        <v>370.10890000000001</v>
      </c>
      <c r="C428" s="21">
        <v>7.3640199649922202</v>
      </c>
    </row>
    <row r="429" spans="1:3">
      <c r="A429" s="20">
        <v>45426</v>
      </c>
      <c r="B429" s="23">
        <v>370.02280000000002</v>
      </c>
      <c r="C429" s="21">
        <v>7.3764217068084603</v>
      </c>
    </row>
    <row r="430" spans="1:3">
      <c r="A430" s="20">
        <v>45425</v>
      </c>
      <c r="B430" s="23">
        <v>369.93680000000001</v>
      </c>
      <c r="C430" s="21">
        <v>7.3888611178361598</v>
      </c>
    </row>
    <row r="431" spans="1:3">
      <c r="A431" s="20">
        <v>45424</v>
      </c>
      <c r="B431" s="23">
        <v>369.85079999999999</v>
      </c>
      <c r="C431" s="21">
        <v>7.4012780100097704</v>
      </c>
    </row>
    <row r="432" spans="1:3">
      <c r="A432" s="20">
        <v>45423</v>
      </c>
      <c r="B432" s="23">
        <v>369.76479999999998</v>
      </c>
      <c r="C432" s="21">
        <v>7.4137035517871599</v>
      </c>
    </row>
    <row r="433" spans="1:3">
      <c r="A433" s="20">
        <v>45422</v>
      </c>
      <c r="B433" s="23">
        <v>369.67880000000002</v>
      </c>
      <c r="C433" s="21">
        <v>7.4261065349156299</v>
      </c>
    </row>
    <row r="434" spans="1:3">
      <c r="A434" s="20">
        <v>45421</v>
      </c>
      <c r="B434" s="23">
        <v>369.59289999999999</v>
      </c>
      <c r="C434" s="21">
        <v>7.4385472261950403</v>
      </c>
    </row>
    <row r="435" spans="1:3">
      <c r="A435" s="20">
        <v>45420</v>
      </c>
      <c r="B435" s="23">
        <v>369.50689999999997</v>
      </c>
      <c r="C435" s="21">
        <v>7.4509675059220504</v>
      </c>
    </row>
    <row r="436" spans="1:3">
      <c r="A436" s="20">
        <v>45419</v>
      </c>
      <c r="B436" s="23">
        <v>369.42099999999999</v>
      </c>
      <c r="C436" s="21">
        <v>7.4633942713689203</v>
      </c>
    </row>
    <row r="437" spans="1:3">
      <c r="A437" s="20">
        <v>45418</v>
      </c>
      <c r="B437" s="23">
        <v>369.33510000000001</v>
      </c>
      <c r="C437" s="21">
        <v>7.4757984186583304</v>
      </c>
    </row>
    <row r="438" spans="1:3">
      <c r="A438" s="20">
        <v>45417</v>
      </c>
      <c r="B438" s="23">
        <v>369.24930000000001</v>
      </c>
      <c r="C438" s="21">
        <v>7.48827160278198</v>
      </c>
    </row>
    <row r="439" spans="1:3">
      <c r="A439" s="20">
        <v>45416</v>
      </c>
      <c r="B439" s="23">
        <v>369.16340000000002</v>
      </c>
      <c r="C439" s="21">
        <v>7.5006930580048801</v>
      </c>
    </row>
    <row r="440" spans="1:3">
      <c r="A440" s="20">
        <v>45415</v>
      </c>
      <c r="B440" s="23">
        <v>369.07760000000002</v>
      </c>
      <c r="C440" s="21">
        <v>7.5131209798474199</v>
      </c>
    </row>
    <row r="441" spans="1:3">
      <c r="A441" s="20">
        <v>45414</v>
      </c>
      <c r="B441" s="23">
        <v>368.99180000000001</v>
      </c>
      <c r="C441" s="21">
        <v>7.5255575571748503</v>
      </c>
    </row>
    <row r="442" spans="1:3">
      <c r="A442" s="20">
        <v>45413</v>
      </c>
      <c r="B442" s="23">
        <v>368.90600000000001</v>
      </c>
      <c r="C442" s="21">
        <v>7.53800279903255</v>
      </c>
    </row>
    <row r="443" spans="1:3">
      <c r="A443" s="20">
        <v>45412</v>
      </c>
      <c r="B443" s="23">
        <v>368.8202</v>
      </c>
      <c r="C443" s="21">
        <v>7.5504253520494302</v>
      </c>
    </row>
    <row r="444" spans="1:3">
      <c r="A444" s="20">
        <v>45411</v>
      </c>
      <c r="B444" s="23">
        <v>368.73450000000003</v>
      </c>
      <c r="C444" s="21">
        <v>7.5628857294295404</v>
      </c>
    </row>
    <row r="445" spans="1:3">
      <c r="A445" s="20">
        <v>45410</v>
      </c>
      <c r="B445" s="23">
        <v>368.64879999999999</v>
      </c>
      <c r="C445" s="21">
        <v>7.5753233981831896</v>
      </c>
    </row>
    <row r="446" spans="1:3">
      <c r="A446" s="20">
        <v>45409</v>
      </c>
      <c r="B446" s="23">
        <v>368.56299999999999</v>
      </c>
      <c r="C446" s="21">
        <v>7.5877405386407499</v>
      </c>
    </row>
    <row r="447" spans="1:3">
      <c r="A447" s="20">
        <v>45408</v>
      </c>
      <c r="B447" s="23">
        <v>368.47739999999999</v>
      </c>
      <c r="C447" s="21">
        <v>7.6001933126101404</v>
      </c>
    </row>
    <row r="448" spans="1:3">
      <c r="A448" s="20">
        <v>45407</v>
      </c>
      <c r="B448" s="23">
        <v>368.39170000000001</v>
      </c>
      <c r="C448" s="21">
        <v>7.6126569824777901</v>
      </c>
    </row>
    <row r="449" spans="1:3">
      <c r="A449" s="20">
        <v>45406</v>
      </c>
      <c r="B449" s="23">
        <v>368.30599999999998</v>
      </c>
      <c r="C449" s="21">
        <v>7.6250664427119901</v>
      </c>
    </row>
    <row r="450" spans="1:3">
      <c r="A450" s="20">
        <v>45405</v>
      </c>
      <c r="B450" s="23">
        <v>368.22039999999998</v>
      </c>
      <c r="C450" s="21">
        <v>7.6375452399041297</v>
      </c>
    </row>
    <row r="451" spans="1:3">
      <c r="A451" s="20">
        <v>45404</v>
      </c>
      <c r="B451" s="23">
        <v>368.13479999999998</v>
      </c>
      <c r="C451" s="21">
        <v>7.64996977839537</v>
      </c>
    </row>
    <row r="452" spans="1:3">
      <c r="A452" s="20">
        <v>45403</v>
      </c>
      <c r="B452" s="23">
        <v>368.04919999999998</v>
      </c>
      <c r="C452" s="21">
        <v>7.6624344604785399</v>
      </c>
    </row>
    <row r="453" spans="1:3">
      <c r="A453" s="20">
        <v>45402</v>
      </c>
      <c r="B453" s="23">
        <v>367.96359999999999</v>
      </c>
      <c r="C453" s="21">
        <v>7.6748763225860399</v>
      </c>
    </row>
    <row r="454" spans="1:3">
      <c r="A454" s="20">
        <v>45401</v>
      </c>
      <c r="B454" s="23">
        <v>367.87810000000002</v>
      </c>
      <c r="C454" s="21">
        <v>7.68735612534278</v>
      </c>
    </row>
    <row r="455" spans="1:3">
      <c r="A455" s="20">
        <v>45400</v>
      </c>
      <c r="B455" s="23">
        <v>367.79259999999999</v>
      </c>
      <c r="C455" s="21">
        <v>7.69981308816247</v>
      </c>
    </row>
    <row r="456" spans="1:3">
      <c r="A456" s="20">
        <v>45399</v>
      </c>
      <c r="B456" s="23">
        <v>367.70710000000003</v>
      </c>
      <c r="C456" s="21">
        <v>7.7122787283341996</v>
      </c>
    </row>
    <row r="457" spans="1:3">
      <c r="A457" s="20">
        <v>45398</v>
      </c>
      <c r="B457" s="23">
        <v>367.6216</v>
      </c>
      <c r="C457" s="21">
        <v>7.72472148817823</v>
      </c>
    </row>
    <row r="458" spans="1:3">
      <c r="A458" s="20">
        <v>45397</v>
      </c>
      <c r="B458" s="23">
        <v>367.53609999999998</v>
      </c>
      <c r="C458" s="21">
        <v>7.7371729142226702</v>
      </c>
    </row>
    <row r="459" spans="1:3">
      <c r="A459" s="20">
        <v>45396</v>
      </c>
      <c r="B459" s="23">
        <v>367.4076</v>
      </c>
      <c r="C459" s="21">
        <v>7.7567411093728804</v>
      </c>
    </row>
    <row r="460" spans="1:3">
      <c r="A460" s="20">
        <v>45395</v>
      </c>
      <c r="B460" s="23">
        <v>367.2792</v>
      </c>
      <c r="C460" s="21">
        <v>7.77629620587172</v>
      </c>
    </row>
    <row r="461" spans="1:3">
      <c r="A461" s="20">
        <v>45394</v>
      </c>
      <c r="B461" s="23">
        <v>367.1508</v>
      </c>
      <c r="C461" s="21">
        <v>7.7958404372540899</v>
      </c>
    </row>
    <row r="462" spans="1:3">
      <c r="A462" s="20">
        <v>45393</v>
      </c>
      <c r="B462" s="23">
        <v>367.0224</v>
      </c>
      <c r="C462" s="21">
        <v>7.81540544049746</v>
      </c>
    </row>
    <row r="463" spans="1:3">
      <c r="A463" s="20">
        <v>45392</v>
      </c>
      <c r="B463" s="23">
        <v>366.89409999999998</v>
      </c>
      <c r="C463" s="21">
        <v>7.8349572518191</v>
      </c>
    </row>
    <row r="464" spans="1:3">
      <c r="A464" s="20">
        <v>45391</v>
      </c>
      <c r="B464" s="23">
        <v>366.76580000000001</v>
      </c>
      <c r="C464" s="21">
        <v>7.8544981254563604</v>
      </c>
    </row>
    <row r="465" spans="1:3">
      <c r="A465" s="20">
        <v>45390</v>
      </c>
      <c r="B465" s="23">
        <v>366.63749999999999</v>
      </c>
      <c r="C465" s="21">
        <v>7.8740597660025502</v>
      </c>
    </row>
    <row r="466" spans="1:3">
      <c r="A466" s="20">
        <v>45389</v>
      </c>
      <c r="B466" s="23">
        <v>366.5093</v>
      </c>
      <c r="C466" s="21">
        <v>7.8936398828360703</v>
      </c>
    </row>
    <row r="467" spans="1:3">
      <c r="A467" s="20">
        <v>45388</v>
      </c>
      <c r="B467" s="23">
        <v>366.38119999999998</v>
      </c>
      <c r="C467" s="21">
        <v>7.9132067035683598</v>
      </c>
    </row>
    <row r="468" spans="1:3">
      <c r="A468" s="20">
        <v>45387</v>
      </c>
      <c r="B468" s="23">
        <v>366.25310000000002</v>
      </c>
      <c r="C468" s="21">
        <v>7.9327943173459596</v>
      </c>
    </row>
    <row r="469" spans="1:3">
      <c r="A469" s="20">
        <v>45386</v>
      </c>
      <c r="B469" s="23">
        <v>366.125</v>
      </c>
      <c r="C469" s="21">
        <v>7.95233909757299</v>
      </c>
    </row>
    <row r="470" spans="1:3">
      <c r="A470" s="20">
        <v>45385</v>
      </c>
      <c r="B470" s="23">
        <v>365.99700000000001</v>
      </c>
      <c r="C470" s="21">
        <v>7.9719341472005798</v>
      </c>
    </row>
    <row r="471" spans="1:3">
      <c r="A471" s="20">
        <v>45384</v>
      </c>
      <c r="B471" s="23">
        <v>365.86900000000003</v>
      </c>
      <c r="C471" s="21">
        <v>7.9915181546791496</v>
      </c>
    </row>
    <row r="472" spans="1:3">
      <c r="A472" s="20">
        <v>45383</v>
      </c>
      <c r="B472" s="23">
        <v>365.74110000000002</v>
      </c>
      <c r="C472" s="21">
        <v>8.0111206171741696</v>
      </c>
    </row>
    <row r="473" spans="1:3">
      <c r="A473" s="20">
        <v>45382</v>
      </c>
      <c r="B473" s="23">
        <v>365.61320000000001</v>
      </c>
      <c r="C473" s="21">
        <v>8.0307119989244597</v>
      </c>
    </row>
    <row r="474" spans="1:3">
      <c r="A474" s="20">
        <v>45381</v>
      </c>
      <c r="B474" s="23">
        <v>365.48540000000003</v>
      </c>
      <c r="C474" s="21">
        <v>8.0503218283968199</v>
      </c>
    </row>
    <row r="475" spans="1:3">
      <c r="A475" s="20">
        <v>45380</v>
      </c>
      <c r="B475" s="23">
        <v>365.35759999999999</v>
      </c>
      <c r="C475" s="21">
        <v>8.0699205383890895</v>
      </c>
    </row>
    <row r="476" spans="1:3">
      <c r="A476" s="20">
        <v>45379</v>
      </c>
      <c r="B476" s="23">
        <v>365.22989999999999</v>
      </c>
      <c r="C476" s="21">
        <v>8.0895376887009807</v>
      </c>
    </row>
    <row r="477" spans="1:3">
      <c r="A477" s="20">
        <v>45378</v>
      </c>
      <c r="B477" s="23">
        <v>365.10210000000001</v>
      </c>
      <c r="C477" s="21">
        <v>8.1091140700049102</v>
      </c>
    </row>
    <row r="478" spans="1:3">
      <c r="A478" s="20">
        <v>45377</v>
      </c>
      <c r="B478" s="23">
        <v>364.97449999999998</v>
      </c>
      <c r="C478" s="21">
        <v>8.1287384790408197</v>
      </c>
    </row>
    <row r="479" spans="1:3">
      <c r="A479" s="20">
        <v>45376</v>
      </c>
      <c r="B479" s="23">
        <v>364.84690000000001</v>
      </c>
      <c r="C479" s="21">
        <v>8.1483516906975293</v>
      </c>
    </row>
    <row r="480" spans="1:3">
      <c r="A480" s="20">
        <v>45375</v>
      </c>
      <c r="B480" s="23">
        <v>364.71929999999998</v>
      </c>
      <c r="C480" s="21">
        <v>8.1679536696713004</v>
      </c>
    </row>
    <row r="481" spans="1:3">
      <c r="A481" s="20">
        <v>45374</v>
      </c>
      <c r="B481" s="23">
        <v>364.59179999999998</v>
      </c>
      <c r="C481" s="21">
        <v>8.1875740542202298</v>
      </c>
    </row>
    <row r="482" spans="1:3">
      <c r="A482" s="20">
        <v>45373</v>
      </c>
      <c r="B482" s="23">
        <v>364.46429999999998</v>
      </c>
      <c r="C482" s="21">
        <v>8.2072152928843192</v>
      </c>
    </row>
    <row r="483" spans="1:3">
      <c r="A483" s="20">
        <v>45372</v>
      </c>
      <c r="B483" s="23">
        <v>364.33690000000001</v>
      </c>
      <c r="C483" s="21">
        <v>8.2268428261603805</v>
      </c>
    </row>
    <row r="484" spans="1:3">
      <c r="A484" s="20">
        <v>45371</v>
      </c>
      <c r="B484" s="23">
        <v>364.20949999999999</v>
      </c>
      <c r="C484" s="21">
        <v>8.2464590481217606</v>
      </c>
    </row>
    <row r="485" spans="1:3">
      <c r="A485" s="20">
        <v>45370</v>
      </c>
      <c r="B485" s="23">
        <v>364.08210000000003</v>
      </c>
      <c r="C485" s="21">
        <v>8.2660961180191208</v>
      </c>
    </row>
    <row r="486" spans="1:3">
      <c r="A486" s="20">
        <v>45369</v>
      </c>
      <c r="B486" s="23">
        <v>363.95479999999998</v>
      </c>
      <c r="C486" s="21">
        <v>8.2857193861460399</v>
      </c>
    </row>
    <row r="487" spans="1:3">
      <c r="A487" s="20">
        <v>45368</v>
      </c>
      <c r="B487" s="23">
        <v>363.82760000000002</v>
      </c>
      <c r="C487" s="21">
        <v>8.3053932768231196</v>
      </c>
    </row>
    <row r="488" spans="1:3">
      <c r="A488" s="20">
        <v>45367</v>
      </c>
      <c r="B488" s="23">
        <v>363.7004</v>
      </c>
      <c r="C488" s="21">
        <v>8.3250235592519708</v>
      </c>
    </row>
    <row r="489" spans="1:3">
      <c r="A489" s="20">
        <v>45366</v>
      </c>
      <c r="B489" s="23">
        <v>363.57319999999999</v>
      </c>
      <c r="C489" s="21">
        <v>8.3446747021270298</v>
      </c>
    </row>
    <row r="490" spans="1:3">
      <c r="A490" s="20">
        <v>45365</v>
      </c>
      <c r="B490" s="23">
        <v>363.45839999999998</v>
      </c>
      <c r="C490" s="21">
        <v>8.3787398299436902</v>
      </c>
    </row>
    <row r="491" spans="1:3">
      <c r="A491" s="20">
        <v>45364</v>
      </c>
      <c r="B491" s="23">
        <v>363.34359999999998</v>
      </c>
      <c r="C491" s="21">
        <v>8.4127832365552795</v>
      </c>
    </row>
    <row r="492" spans="1:3">
      <c r="A492" s="20">
        <v>45363</v>
      </c>
      <c r="B492" s="23">
        <v>363.22890000000001</v>
      </c>
      <c r="C492" s="21">
        <v>8.4468994327591709</v>
      </c>
    </row>
    <row r="493" spans="1:3">
      <c r="A493" s="20">
        <v>45362</v>
      </c>
      <c r="B493" s="23">
        <v>363.11419999999998</v>
      </c>
      <c r="C493" s="21">
        <v>8.4809614544663692</v>
      </c>
    </row>
    <row r="494" spans="1:3">
      <c r="A494" s="20">
        <v>45361</v>
      </c>
      <c r="B494" s="23">
        <v>362.99959999999999</v>
      </c>
      <c r="C494" s="21">
        <v>8.5150963199590599</v>
      </c>
    </row>
    <row r="495" spans="1:3">
      <c r="A495" s="20">
        <v>45360</v>
      </c>
      <c r="B495" s="23">
        <v>362.88499999999999</v>
      </c>
      <c r="C495" s="21">
        <v>8.5492093139011498</v>
      </c>
    </row>
    <row r="496" spans="1:3">
      <c r="A496" s="20">
        <v>45359</v>
      </c>
      <c r="B496" s="23">
        <v>362.7704</v>
      </c>
      <c r="C496" s="21">
        <v>8.5833328344717401</v>
      </c>
    </row>
    <row r="497" spans="1:3">
      <c r="A497" s="20">
        <v>45358</v>
      </c>
      <c r="B497" s="23">
        <v>362.6558</v>
      </c>
      <c r="C497" s="21">
        <v>8.6174668709295297</v>
      </c>
    </row>
    <row r="498" spans="1:3">
      <c r="A498" s="20">
        <v>45357</v>
      </c>
      <c r="B498" s="23">
        <v>362.54129999999998</v>
      </c>
      <c r="C498" s="21">
        <v>8.6516088196474907</v>
      </c>
    </row>
    <row r="499" spans="1:3">
      <c r="A499" s="20">
        <v>45356</v>
      </c>
      <c r="B499" s="23">
        <v>362.42689999999999</v>
      </c>
      <c r="C499" s="21">
        <v>8.6857912272126097</v>
      </c>
    </row>
    <row r="500" spans="1:3">
      <c r="A500" s="20">
        <v>45355</v>
      </c>
      <c r="B500" s="23">
        <v>362.31240000000003</v>
      </c>
      <c r="C500" s="21">
        <v>8.7199215010817603</v>
      </c>
    </row>
    <row r="501" spans="1:3">
      <c r="A501" s="20">
        <v>45354</v>
      </c>
      <c r="B501" s="23">
        <v>362.19799999999998</v>
      </c>
      <c r="C501" s="21">
        <v>8.7540921880681495</v>
      </c>
    </row>
    <row r="502" spans="1:3">
      <c r="A502" s="20">
        <v>45353</v>
      </c>
      <c r="B502" s="23">
        <v>362.08370000000002</v>
      </c>
      <c r="C502" s="21">
        <v>8.7883033338310792</v>
      </c>
    </row>
    <row r="503" spans="1:3">
      <c r="A503" s="20">
        <v>45352</v>
      </c>
      <c r="B503" s="23">
        <v>361.96929999999998</v>
      </c>
      <c r="C503" s="21">
        <v>8.8224948560475003</v>
      </c>
    </row>
    <row r="504" spans="1:3">
      <c r="A504" s="20">
        <v>45351</v>
      </c>
      <c r="B504" s="23">
        <v>361.85509999999999</v>
      </c>
      <c r="C504" s="21">
        <v>8.8567241882940593</v>
      </c>
    </row>
    <row r="505" spans="1:3">
      <c r="A505" s="20">
        <v>45350</v>
      </c>
      <c r="B505" s="23">
        <v>361.74079999999998</v>
      </c>
      <c r="C505" s="21">
        <v>8.8223393652676005</v>
      </c>
    </row>
    <row r="506" spans="1:3">
      <c r="A506" s="20">
        <v>45349</v>
      </c>
      <c r="B506" s="23">
        <v>361.6266</v>
      </c>
      <c r="C506" s="21">
        <v>8.8565574177608006</v>
      </c>
    </row>
    <row r="507" spans="1:3">
      <c r="A507" s="20">
        <v>45348</v>
      </c>
      <c r="B507" s="23">
        <v>361.51240000000001</v>
      </c>
      <c r="C507" s="21">
        <v>8.8907858361893002</v>
      </c>
    </row>
    <row r="508" spans="1:3">
      <c r="A508" s="20">
        <v>45347</v>
      </c>
      <c r="B508" s="23">
        <v>361.39830000000001</v>
      </c>
      <c r="C508" s="21">
        <v>8.9250219192293407</v>
      </c>
    </row>
    <row r="509" spans="1:3">
      <c r="A509" s="20">
        <v>45346</v>
      </c>
      <c r="B509" s="23">
        <v>361.2842</v>
      </c>
      <c r="C509" s="21">
        <v>8.9592683214442008</v>
      </c>
    </row>
    <row r="510" spans="1:3">
      <c r="A510" s="20">
        <v>45345</v>
      </c>
      <c r="B510" s="23">
        <v>361.17009999999999</v>
      </c>
      <c r="C510" s="21">
        <v>8.9935250313548298</v>
      </c>
    </row>
    <row r="511" spans="1:3">
      <c r="A511" s="20">
        <v>45344</v>
      </c>
      <c r="B511" s="23">
        <v>361.05599999999998</v>
      </c>
      <c r="C511" s="21">
        <v>9.0277591144091502</v>
      </c>
    </row>
    <row r="512" spans="1:3">
      <c r="A512" s="20">
        <v>45343</v>
      </c>
      <c r="B512" s="23">
        <v>360.94200000000001</v>
      </c>
      <c r="C512" s="21">
        <v>9.0620336357848608</v>
      </c>
    </row>
    <row r="513" spans="1:3">
      <c r="A513" s="20">
        <v>45342</v>
      </c>
      <c r="B513" s="23">
        <v>360.82810000000001</v>
      </c>
      <c r="C513" s="21">
        <v>9.0963486409068608</v>
      </c>
    </row>
    <row r="514" spans="1:3">
      <c r="A514" s="20">
        <v>45341</v>
      </c>
      <c r="B514" s="23">
        <v>360.71420000000001</v>
      </c>
      <c r="C514" s="21">
        <v>9.1306409047412007</v>
      </c>
    </row>
    <row r="515" spans="1:3">
      <c r="A515" s="20">
        <v>45340</v>
      </c>
      <c r="B515" s="23">
        <v>360.6003</v>
      </c>
      <c r="C515" s="21">
        <v>9.1649764172363106</v>
      </c>
    </row>
    <row r="516" spans="1:3">
      <c r="A516" s="20">
        <v>45339</v>
      </c>
      <c r="B516" s="23">
        <v>360.4864</v>
      </c>
      <c r="C516" s="21">
        <v>9.1992560236036809</v>
      </c>
    </row>
    <row r="517" spans="1:3">
      <c r="A517" s="20">
        <v>45338</v>
      </c>
      <c r="B517" s="23">
        <v>360.37259999999998</v>
      </c>
      <c r="C517" s="21">
        <v>9.2336091661362207</v>
      </c>
    </row>
    <row r="518" spans="1:3">
      <c r="A518" s="20">
        <v>45337</v>
      </c>
      <c r="B518" s="23">
        <v>360.25880000000001</v>
      </c>
      <c r="C518" s="21">
        <v>9.2679393707412299</v>
      </c>
    </row>
    <row r="519" spans="1:3">
      <c r="A519" s="20">
        <v>45336</v>
      </c>
      <c r="B519" s="23">
        <v>360.20659999999998</v>
      </c>
      <c r="C519" s="21">
        <v>9.2962626946102294</v>
      </c>
    </row>
    <row r="520" spans="1:3">
      <c r="A520" s="20">
        <v>45335</v>
      </c>
      <c r="B520" s="23">
        <v>360.15449999999998</v>
      </c>
      <c r="C520" s="21">
        <v>9.3246060918072402</v>
      </c>
    </row>
    <row r="521" spans="1:3">
      <c r="A521" s="20">
        <v>45334</v>
      </c>
      <c r="B521" s="23">
        <v>360.10230000000001</v>
      </c>
      <c r="C521" s="21">
        <v>9.3529088264937794</v>
      </c>
    </row>
    <row r="522" spans="1:3">
      <c r="A522" s="20">
        <v>45333</v>
      </c>
      <c r="B522" s="23">
        <v>360.05009999999999</v>
      </c>
      <c r="C522" s="21">
        <v>9.3812344324314001</v>
      </c>
    </row>
    <row r="523" spans="1:3">
      <c r="A523" s="20">
        <v>45332</v>
      </c>
      <c r="B523" s="23">
        <v>359.99799999999999</v>
      </c>
      <c r="C523" s="21">
        <v>9.4095800776204506</v>
      </c>
    </row>
    <row r="524" spans="1:3">
      <c r="A524" s="20">
        <v>45331</v>
      </c>
      <c r="B524" s="23">
        <v>359.94589999999999</v>
      </c>
      <c r="C524" s="21">
        <v>9.4379486300110003</v>
      </c>
    </row>
    <row r="525" spans="1:3">
      <c r="A525" s="20">
        <v>45330</v>
      </c>
      <c r="B525" s="23">
        <v>359.89370000000002</v>
      </c>
      <c r="C525" s="21">
        <v>9.4662764055135007</v>
      </c>
    </row>
    <row r="526" spans="1:3">
      <c r="A526" s="20">
        <v>45329</v>
      </c>
      <c r="B526" s="23">
        <v>359.84160000000003</v>
      </c>
      <c r="C526" s="21">
        <v>9.4946575036095897</v>
      </c>
    </row>
    <row r="527" spans="1:3">
      <c r="A527" s="20">
        <v>45328</v>
      </c>
      <c r="B527" s="23">
        <v>359.78949999999998</v>
      </c>
      <c r="C527" s="21">
        <v>9.5230282083299596</v>
      </c>
    </row>
    <row r="528" spans="1:3">
      <c r="A528" s="20">
        <v>45327</v>
      </c>
      <c r="B528" s="23">
        <v>359.73739999999998</v>
      </c>
      <c r="C528" s="21">
        <v>9.5514218430194209</v>
      </c>
    </row>
    <row r="529" spans="1:3">
      <c r="A529" s="20">
        <v>45326</v>
      </c>
      <c r="B529" s="23">
        <v>359.68529999999998</v>
      </c>
      <c r="C529" s="21">
        <v>9.5798050514790205</v>
      </c>
    </row>
    <row r="530" spans="1:3">
      <c r="A530" s="20">
        <v>45325</v>
      </c>
      <c r="B530" s="23">
        <v>359.63319999999999</v>
      </c>
      <c r="C530" s="21">
        <v>9.6081777951162408</v>
      </c>
    </row>
    <row r="531" spans="1:3">
      <c r="A531" s="20">
        <v>45324</v>
      </c>
      <c r="B531" s="23">
        <v>359.58109999999999</v>
      </c>
      <c r="C531" s="21">
        <v>9.6365734635666396</v>
      </c>
    </row>
    <row r="532" spans="1:3">
      <c r="A532" s="20">
        <v>45323</v>
      </c>
      <c r="B532" s="23">
        <v>359.529</v>
      </c>
      <c r="C532" s="21">
        <v>9.6649920846258706</v>
      </c>
    </row>
    <row r="533" spans="1:3">
      <c r="A533" s="20">
        <v>45322</v>
      </c>
      <c r="B533" s="23">
        <v>359.47699999999998</v>
      </c>
      <c r="C533" s="21">
        <v>9.6934307282095808</v>
      </c>
    </row>
    <row r="534" spans="1:3">
      <c r="A534" s="20">
        <v>45321</v>
      </c>
      <c r="B534" s="23">
        <v>359.42489999999998</v>
      </c>
      <c r="C534" s="21">
        <v>9.7218283384461106</v>
      </c>
    </row>
    <row r="535" spans="1:3">
      <c r="A535" s="20">
        <v>45320</v>
      </c>
      <c r="B535" s="23">
        <v>359.37290000000002</v>
      </c>
      <c r="C535" s="21">
        <v>9.7502794353878208</v>
      </c>
    </row>
    <row r="536" spans="1:3">
      <c r="A536" s="20">
        <v>45319</v>
      </c>
      <c r="B536" s="23">
        <v>359.32080000000002</v>
      </c>
      <c r="C536" s="21">
        <v>9.7786894411418004</v>
      </c>
    </row>
    <row r="537" spans="1:3">
      <c r="A537" s="20">
        <v>45318</v>
      </c>
      <c r="B537" s="23">
        <v>359.2688</v>
      </c>
      <c r="C537" s="21">
        <v>9.8071529694823898</v>
      </c>
    </row>
    <row r="538" spans="1:3">
      <c r="A538" s="20">
        <v>45317</v>
      </c>
      <c r="B538" s="23">
        <v>359.2167</v>
      </c>
      <c r="C538" s="21">
        <v>9.8355753486857491</v>
      </c>
    </row>
    <row r="539" spans="1:3">
      <c r="A539" s="20">
        <v>45316</v>
      </c>
      <c r="B539" s="23">
        <v>359.16469999999998</v>
      </c>
      <c r="C539" s="21">
        <v>9.8640512863493992</v>
      </c>
    </row>
    <row r="540" spans="1:3">
      <c r="A540" s="20">
        <v>45315</v>
      </c>
      <c r="B540" s="23">
        <v>359.11270000000002</v>
      </c>
      <c r="C540" s="21">
        <v>9.8925166179394797</v>
      </c>
    </row>
    <row r="541" spans="1:3">
      <c r="A541" s="20">
        <v>45314</v>
      </c>
      <c r="B541" s="23">
        <v>359.0607</v>
      </c>
      <c r="C541" s="21">
        <v>9.9210049550991997</v>
      </c>
    </row>
    <row r="542" spans="1:3">
      <c r="A542" s="20">
        <v>45313</v>
      </c>
      <c r="B542" s="23">
        <v>359.00869999999998</v>
      </c>
      <c r="C542" s="21">
        <v>9.9494826527502802</v>
      </c>
    </row>
    <row r="543" spans="1:3">
      <c r="A543" s="20">
        <v>45312</v>
      </c>
      <c r="B543" s="23">
        <v>358.95670000000001</v>
      </c>
      <c r="C543" s="21">
        <v>9.9779833671170906</v>
      </c>
    </row>
    <row r="544" spans="1:3">
      <c r="A544" s="20">
        <v>45311</v>
      </c>
      <c r="B544" s="23">
        <v>358.90469999999999</v>
      </c>
      <c r="C544" s="21">
        <v>10.0064734084518</v>
      </c>
    </row>
    <row r="545" spans="1:3">
      <c r="A545" s="20">
        <v>45310</v>
      </c>
      <c r="B545" s="23">
        <v>358.85270000000003</v>
      </c>
      <c r="C545" s="21">
        <v>10.0349527376067</v>
      </c>
    </row>
    <row r="546" spans="1:3">
      <c r="A546" s="20">
        <v>45309</v>
      </c>
      <c r="B546" s="23">
        <v>358.80079999999998</v>
      </c>
      <c r="C546" s="21">
        <v>10.0634857531295</v>
      </c>
    </row>
    <row r="547" spans="1:3">
      <c r="A547" s="20">
        <v>45308</v>
      </c>
      <c r="B547" s="23">
        <v>358.74880000000002</v>
      </c>
      <c r="C547" s="21">
        <v>10.092011144571</v>
      </c>
    </row>
    <row r="548" spans="1:3">
      <c r="A548" s="20">
        <v>45307</v>
      </c>
      <c r="B548" s="23">
        <v>358.6968</v>
      </c>
      <c r="C548" s="21">
        <v>10.120525795663999</v>
      </c>
    </row>
    <row r="549" spans="1:3">
      <c r="A549" s="20">
        <v>45306</v>
      </c>
      <c r="B549" s="23">
        <v>358.64490000000001</v>
      </c>
      <c r="C549" s="21">
        <v>10.149060379681</v>
      </c>
    </row>
    <row r="550" spans="1:3">
      <c r="A550" s="20">
        <v>45305</v>
      </c>
      <c r="B550" s="23">
        <v>358.59070000000003</v>
      </c>
      <c r="C550" s="21">
        <v>10.159683459337201</v>
      </c>
    </row>
    <row r="551" spans="1:3">
      <c r="A551" s="20">
        <v>45304</v>
      </c>
      <c r="B551" s="23">
        <v>358.53649999999999</v>
      </c>
      <c r="C551" s="21">
        <v>10.1702779480608</v>
      </c>
    </row>
    <row r="552" spans="1:3">
      <c r="A552" s="20">
        <v>45303</v>
      </c>
      <c r="B552" s="23">
        <v>358.48219999999998</v>
      </c>
      <c r="C552" s="21">
        <v>10.180846943981701</v>
      </c>
    </row>
    <row r="553" spans="1:3">
      <c r="A553" s="20">
        <v>45302</v>
      </c>
      <c r="B553" s="23">
        <v>358.428</v>
      </c>
      <c r="C553" s="21">
        <v>10.191451914134801</v>
      </c>
    </row>
    <row r="554" spans="1:3">
      <c r="A554" s="20">
        <v>45301</v>
      </c>
      <c r="B554" s="23">
        <v>358.37380000000002</v>
      </c>
      <c r="C554" s="21">
        <v>10.2020621346445</v>
      </c>
    </row>
    <row r="555" spans="1:3">
      <c r="A555" s="20">
        <v>45300</v>
      </c>
      <c r="B555" s="23">
        <v>358.31959999999998</v>
      </c>
      <c r="C555" s="21">
        <v>10.2126776094108</v>
      </c>
    </row>
    <row r="556" spans="1:3">
      <c r="A556" s="20">
        <v>45299</v>
      </c>
      <c r="B556" s="23">
        <v>358.2654</v>
      </c>
      <c r="C556" s="21">
        <v>10.2232644312432</v>
      </c>
    </row>
    <row r="557" spans="1:3">
      <c r="A557" s="20">
        <v>45298</v>
      </c>
      <c r="B557" s="23">
        <v>358.21120000000002</v>
      </c>
      <c r="C557" s="21">
        <v>10.2338564918233</v>
      </c>
    </row>
    <row r="558" spans="1:3">
      <c r="A558" s="20">
        <v>45297</v>
      </c>
      <c r="B558" s="23">
        <v>358.15699999999998</v>
      </c>
      <c r="C558" s="21">
        <v>10.2444537950407</v>
      </c>
    </row>
    <row r="559" spans="1:3">
      <c r="A559" s="20">
        <v>45296</v>
      </c>
      <c r="B559" s="23">
        <v>358.10289999999998</v>
      </c>
      <c r="C559" s="21">
        <v>10.2550871334494</v>
      </c>
    </row>
    <row r="560" spans="1:3">
      <c r="A560" s="20">
        <v>45295</v>
      </c>
      <c r="B560" s="23">
        <v>358.0487</v>
      </c>
      <c r="C560" s="21">
        <v>10.2656949412484</v>
      </c>
    </row>
    <row r="561" spans="1:3">
      <c r="A561" s="20">
        <v>45294</v>
      </c>
      <c r="B561" s="23">
        <v>357.99459999999999</v>
      </c>
      <c r="C561" s="21">
        <v>10.276304837875999</v>
      </c>
    </row>
    <row r="562" spans="1:3">
      <c r="A562" s="20">
        <v>45293</v>
      </c>
      <c r="B562" s="23">
        <v>357.94040000000001</v>
      </c>
      <c r="C562" s="21">
        <v>10.286889173108101</v>
      </c>
    </row>
    <row r="563" spans="1:3">
      <c r="A563" s="20">
        <v>45292</v>
      </c>
      <c r="B563" s="23">
        <v>357.88630000000001</v>
      </c>
      <c r="C563" s="21">
        <v>10.297509566263599</v>
      </c>
    </row>
    <row r="564" spans="1:3">
      <c r="A564" s="20">
        <v>45291</v>
      </c>
      <c r="B564" s="23">
        <v>357.8322</v>
      </c>
      <c r="C564" s="21">
        <v>10.3081352173427</v>
      </c>
    </row>
    <row r="565" spans="1:3">
      <c r="A565" s="20">
        <v>45290</v>
      </c>
      <c r="B565" s="23">
        <v>357.77800000000002</v>
      </c>
      <c r="C565" s="21">
        <v>10.3187012797201</v>
      </c>
    </row>
    <row r="566" spans="1:3">
      <c r="A566" s="20">
        <v>45289</v>
      </c>
      <c r="B566" s="23">
        <v>357.72390000000001</v>
      </c>
      <c r="C566" s="21">
        <v>10.3293374390253</v>
      </c>
    </row>
    <row r="567" spans="1:3">
      <c r="A567" s="20">
        <v>45288</v>
      </c>
      <c r="B567" s="23">
        <v>357.66980000000001</v>
      </c>
      <c r="C567" s="21">
        <v>10.3399448284542</v>
      </c>
    </row>
    <row r="568" spans="1:3">
      <c r="A568" s="20">
        <v>45287</v>
      </c>
      <c r="B568" s="23">
        <v>357.6157</v>
      </c>
      <c r="C568" s="21">
        <v>10.3505574680226</v>
      </c>
    </row>
    <row r="569" spans="1:3">
      <c r="A569" s="20">
        <v>45286</v>
      </c>
      <c r="B569" s="23">
        <v>357.5616</v>
      </c>
      <c r="C569" s="21">
        <v>10.361175361629099</v>
      </c>
    </row>
    <row r="570" spans="1:3">
      <c r="A570" s="20">
        <v>45285</v>
      </c>
      <c r="B570" s="23">
        <v>357.50749999999999</v>
      </c>
      <c r="C570" s="21">
        <v>10.371764438562201</v>
      </c>
    </row>
    <row r="571" spans="1:3">
      <c r="A571" s="20">
        <v>45284</v>
      </c>
      <c r="B571" s="23">
        <v>357.45350000000002</v>
      </c>
      <c r="C571" s="21">
        <v>10.382423720455</v>
      </c>
    </row>
    <row r="572" spans="1:3">
      <c r="A572" s="20">
        <v>45283</v>
      </c>
      <c r="B572" s="23">
        <v>357.39940000000001</v>
      </c>
      <c r="C572" s="21">
        <v>10.393023297476599</v>
      </c>
    </row>
    <row r="573" spans="1:3">
      <c r="A573" s="20">
        <v>45282</v>
      </c>
      <c r="B573" s="23">
        <v>357.34539999999998</v>
      </c>
      <c r="C573" s="21">
        <v>10.4036590162192</v>
      </c>
    </row>
    <row r="574" spans="1:3">
      <c r="A574" s="20">
        <v>45281</v>
      </c>
      <c r="B574" s="23">
        <v>357.29129999999998</v>
      </c>
      <c r="C574" s="21">
        <v>10.4142349757426</v>
      </c>
    </row>
    <row r="575" spans="1:3">
      <c r="A575" s="20">
        <v>45280</v>
      </c>
      <c r="B575" s="23">
        <v>357.2373</v>
      </c>
      <c r="C575" s="21">
        <v>10.424881209823701</v>
      </c>
    </row>
    <row r="576" spans="1:3">
      <c r="A576" s="20">
        <v>45279</v>
      </c>
      <c r="B576" s="23">
        <v>357.1832</v>
      </c>
      <c r="C576" s="21">
        <v>10.4354676537481</v>
      </c>
    </row>
    <row r="577" spans="1:3">
      <c r="A577" s="20">
        <v>45278</v>
      </c>
      <c r="B577" s="23">
        <v>357.12920000000003</v>
      </c>
      <c r="C577" s="21">
        <v>10.446124418782601</v>
      </c>
    </row>
    <row r="578" spans="1:3">
      <c r="A578" s="20">
        <v>45277</v>
      </c>
      <c r="B578" s="23">
        <v>357.0752</v>
      </c>
      <c r="C578" s="21">
        <v>10.4567522964443</v>
      </c>
    </row>
    <row r="579" spans="1:3">
      <c r="A579" s="20">
        <v>45276</v>
      </c>
      <c r="B579" s="23">
        <v>357.02120000000002</v>
      </c>
      <c r="C579" s="21">
        <v>10.4673512554163</v>
      </c>
    </row>
    <row r="580" spans="1:3">
      <c r="A580" s="20">
        <v>45275</v>
      </c>
      <c r="B580" s="23">
        <v>356.96719999999999</v>
      </c>
      <c r="C580" s="21">
        <v>10.477989648158699</v>
      </c>
    </row>
    <row r="581" spans="1:3">
      <c r="A581" s="20">
        <v>45274</v>
      </c>
      <c r="B581" s="23">
        <v>356.9375</v>
      </c>
      <c r="C581" s="21">
        <v>10.4952322400438</v>
      </c>
    </row>
    <row r="582" spans="1:3">
      <c r="A582" s="20">
        <v>45273</v>
      </c>
      <c r="B582" s="23">
        <v>356.90780000000001</v>
      </c>
      <c r="C582" s="21">
        <v>10.5124488670477</v>
      </c>
    </row>
    <row r="583" spans="1:3">
      <c r="A583" s="20">
        <v>45272</v>
      </c>
      <c r="B583" s="23">
        <v>356.87810000000002</v>
      </c>
      <c r="C583" s="21">
        <v>10.529707959432599</v>
      </c>
    </row>
    <row r="584" spans="1:3">
      <c r="A584" s="20">
        <v>45271</v>
      </c>
      <c r="B584" s="23">
        <v>356.84840000000003</v>
      </c>
      <c r="C584" s="21">
        <v>10.5469410717262</v>
      </c>
    </row>
    <row r="585" spans="1:3">
      <c r="A585" s="20">
        <v>45270</v>
      </c>
      <c r="B585" s="23">
        <v>356.81869999999998</v>
      </c>
      <c r="C585" s="21">
        <v>10.5641481692646</v>
      </c>
    </row>
    <row r="586" spans="1:3">
      <c r="A586" s="20">
        <v>45269</v>
      </c>
      <c r="B586" s="23">
        <v>356.78899999999999</v>
      </c>
      <c r="C586" s="21">
        <v>10.5813977634471</v>
      </c>
    </row>
    <row r="587" spans="1:3">
      <c r="A587" s="20">
        <v>45268</v>
      </c>
      <c r="B587" s="23">
        <v>356.7593</v>
      </c>
      <c r="C587" s="21">
        <v>10.5986556142196</v>
      </c>
    </row>
    <row r="588" spans="1:3">
      <c r="A588" s="20">
        <v>45267</v>
      </c>
      <c r="B588" s="23">
        <v>356.7296</v>
      </c>
      <c r="C588" s="21">
        <v>10.615887427363001</v>
      </c>
    </row>
    <row r="589" spans="1:3">
      <c r="A589" s="20">
        <v>45266</v>
      </c>
      <c r="B589" s="23">
        <v>356.69990000000001</v>
      </c>
      <c r="C589" s="21">
        <v>10.6331274818411</v>
      </c>
    </row>
    <row r="590" spans="1:3">
      <c r="A590" s="20">
        <v>45265</v>
      </c>
      <c r="B590" s="23">
        <v>356.67020000000002</v>
      </c>
      <c r="C590" s="21">
        <v>10.650375783567499</v>
      </c>
    </row>
    <row r="591" spans="1:3">
      <c r="A591" s="20">
        <v>45264</v>
      </c>
      <c r="B591" s="23">
        <v>356.64049999999997</v>
      </c>
      <c r="C591" s="21">
        <v>10.667632338461701</v>
      </c>
    </row>
    <row r="592" spans="1:3">
      <c r="A592" s="20">
        <v>45263</v>
      </c>
      <c r="B592" s="23">
        <v>356.61079999999998</v>
      </c>
      <c r="C592" s="21">
        <v>10.6848627980696</v>
      </c>
    </row>
    <row r="593" spans="1:3">
      <c r="A593" s="20">
        <v>45262</v>
      </c>
      <c r="B593" s="23">
        <v>356.58120000000002</v>
      </c>
      <c r="C593" s="21">
        <v>10.7021669089245</v>
      </c>
    </row>
    <row r="594" spans="1:3">
      <c r="A594" s="20">
        <v>45261</v>
      </c>
      <c r="B594" s="23">
        <v>356.55149999999998</v>
      </c>
      <c r="C594" s="21">
        <v>10.719413871185299</v>
      </c>
    </row>
    <row r="595" spans="1:3">
      <c r="A595" s="20">
        <v>45260</v>
      </c>
      <c r="B595" s="23">
        <v>356.52179999999998</v>
      </c>
      <c r="C595" s="21">
        <v>10.7366690831564</v>
      </c>
    </row>
    <row r="596" spans="1:3">
      <c r="A596" s="20">
        <v>45259</v>
      </c>
      <c r="B596" s="23">
        <v>356.49209999999999</v>
      </c>
      <c r="C596" s="21">
        <v>10.7539325507584</v>
      </c>
    </row>
    <row r="597" spans="1:3">
      <c r="A597" s="20">
        <v>45258</v>
      </c>
      <c r="B597" s="23">
        <v>356.46249999999998</v>
      </c>
      <c r="C597" s="21">
        <v>10.771200932751199</v>
      </c>
    </row>
    <row r="598" spans="1:3">
      <c r="A598" s="20">
        <v>45257</v>
      </c>
      <c r="B598" s="23">
        <v>356.43279999999999</v>
      </c>
      <c r="C598" s="21">
        <v>10.788480923227</v>
      </c>
    </row>
    <row r="599" spans="1:3">
      <c r="A599" s="20">
        <v>45256</v>
      </c>
      <c r="B599" s="23">
        <v>356.40309999999999</v>
      </c>
      <c r="C599" s="21">
        <v>10.805734737606601</v>
      </c>
    </row>
    <row r="600" spans="1:3">
      <c r="A600" s="20">
        <v>45255</v>
      </c>
      <c r="B600" s="23">
        <v>356.37349999999998</v>
      </c>
      <c r="C600" s="21">
        <v>10.8230279015542</v>
      </c>
    </row>
    <row r="601" spans="1:3">
      <c r="A601" s="20">
        <v>45254</v>
      </c>
      <c r="B601" s="23">
        <v>356.34379999999999</v>
      </c>
      <c r="C601" s="21">
        <v>10.840298233554099</v>
      </c>
    </row>
    <row r="602" spans="1:3">
      <c r="A602" s="20">
        <v>45253</v>
      </c>
      <c r="B602" s="23">
        <v>356.31420000000003</v>
      </c>
      <c r="C602" s="21">
        <v>10.8576079418548</v>
      </c>
    </row>
    <row r="603" spans="1:3">
      <c r="A603" s="20">
        <v>45252</v>
      </c>
      <c r="B603" s="23">
        <v>356.28449999999998</v>
      </c>
      <c r="C603" s="21">
        <v>10.8748603112038</v>
      </c>
    </row>
    <row r="604" spans="1:3">
      <c r="A604" s="20">
        <v>45251</v>
      </c>
      <c r="B604" s="23">
        <v>356.25490000000002</v>
      </c>
      <c r="C604" s="21">
        <v>10.8921865739657</v>
      </c>
    </row>
    <row r="605" spans="1:3">
      <c r="A605" s="20">
        <v>45250</v>
      </c>
      <c r="B605" s="23">
        <v>356.22519999999997</v>
      </c>
      <c r="C605" s="21">
        <v>10.909455467492901</v>
      </c>
    </row>
    <row r="606" spans="1:3">
      <c r="A606" s="20">
        <v>45249</v>
      </c>
      <c r="B606" s="23">
        <v>356.19560000000001</v>
      </c>
      <c r="C606" s="21">
        <v>10.9267637635593</v>
      </c>
    </row>
    <row r="607" spans="1:3">
      <c r="A607" s="20">
        <v>45248</v>
      </c>
      <c r="B607" s="23">
        <v>356.16590000000002</v>
      </c>
      <c r="C607" s="21">
        <v>10.9440491913579</v>
      </c>
    </row>
    <row r="608" spans="1:3">
      <c r="A608" s="20">
        <v>45247</v>
      </c>
      <c r="B608" s="23">
        <v>356.13630000000001</v>
      </c>
      <c r="C608" s="21">
        <v>10.961339476244801</v>
      </c>
    </row>
    <row r="609" spans="1:3">
      <c r="A609" s="20">
        <v>45246</v>
      </c>
      <c r="B609" s="23">
        <v>356.10660000000001</v>
      </c>
      <c r="C609" s="21">
        <v>10.978641448398699</v>
      </c>
    </row>
    <row r="610" spans="1:3">
      <c r="A610" s="20">
        <v>45245</v>
      </c>
      <c r="B610" s="23">
        <v>356.077</v>
      </c>
      <c r="C610" s="21">
        <v>10.995948277098201</v>
      </c>
    </row>
    <row r="611" spans="1:3">
      <c r="A611" s="20">
        <v>45244</v>
      </c>
      <c r="B611" s="23">
        <v>356.01510000000002</v>
      </c>
      <c r="C611" s="21">
        <v>11.009803371312</v>
      </c>
    </row>
    <row r="612" spans="1:3">
      <c r="A612" s="20">
        <v>45243</v>
      </c>
      <c r="B612" s="23">
        <v>355.95330000000001</v>
      </c>
      <c r="C612" s="21">
        <v>11.0236979359983</v>
      </c>
    </row>
    <row r="613" spans="1:3">
      <c r="A613" s="20">
        <v>45242</v>
      </c>
      <c r="B613" s="23">
        <v>355.89150000000001</v>
      </c>
      <c r="C613" s="21">
        <v>11.037566163153301</v>
      </c>
    </row>
    <row r="614" spans="1:3">
      <c r="A614" s="20">
        <v>45241</v>
      </c>
      <c r="B614" s="23">
        <v>355.82960000000003</v>
      </c>
      <c r="C614" s="21">
        <v>11.0514114652449</v>
      </c>
    </row>
    <row r="615" spans="1:3">
      <c r="A615" s="20">
        <v>45240</v>
      </c>
      <c r="B615" s="23">
        <v>355.76780000000002</v>
      </c>
      <c r="C615" s="21">
        <v>11.0652962586838</v>
      </c>
    </row>
    <row r="616" spans="1:3">
      <c r="A616" s="20">
        <v>45239</v>
      </c>
      <c r="B616" s="23">
        <v>355.70600000000002</v>
      </c>
      <c r="C616" s="21">
        <v>11.0791546634814</v>
      </c>
    </row>
    <row r="617" spans="1:3">
      <c r="A617" s="20">
        <v>45238</v>
      </c>
      <c r="B617" s="23">
        <v>355.64420000000001</v>
      </c>
      <c r="C617" s="21">
        <v>11.0930213452642</v>
      </c>
    </row>
    <row r="618" spans="1:3">
      <c r="A618" s="20">
        <v>45237</v>
      </c>
      <c r="B618" s="23">
        <v>355.58249999999998</v>
      </c>
      <c r="C618" s="21">
        <v>11.106927557905101</v>
      </c>
    </row>
    <row r="619" spans="1:3">
      <c r="A619" s="20">
        <v>45236</v>
      </c>
      <c r="B619" s="23">
        <v>355.52069999999998</v>
      </c>
      <c r="C619" s="21">
        <v>11.1207760935773</v>
      </c>
    </row>
    <row r="620" spans="1:3">
      <c r="A620" s="20">
        <v>45235</v>
      </c>
      <c r="B620" s="23">
        <v>355.45890000000003</v>
      </c>
      <c r="C620" s="21">
        <v>11.134667645473501</v>
      </c>
    </row>
    <row r="621" spans="1:3">
      <c r="A621" s="20">
        <v>45234</v>
      </c>
      <c r="B621" s="23">
        <v>355.3972</v>
      </c>
      <c r="C621" s="21">
        <v>11.148564017417399</v>
      </c>
    </row>
    <row r="622" spans="1:3">
      <c r="A622" s="20">
        <v>45233</v>
      </c>
      <c r="B622" s="23">
        <v>355.33539999999999</v>
      </c>
      <c r="C622" s="21">
        <v>11.162402633094599</v>
      </c>
    </row>
    <row r="623" spans="1:3">
      <c r="A623" s="20">
        <v>45232</v>
      </c>
      <c r="B623" s="23">
        <v>355.27370000000002</v>
      </c>
      <c r="C623" s="21">
        <v>11.1763155951268</v>
      </c>
    </row>
    <row r="624" spans="1:3">
      <c r="A624" s="20">
        <v>45231</v>
      </c>
      <c r="B624" s="23">
        <v>355.21199999999999</v>
      </c>
      <c r="C624" s="21">
        <v>11.1902020700963</v>
      </c>
    </row>
    <row r="625" spans="1:3">
      <c r="A625" s="20">
        <v>45230</v>
      </c>
      <c r="B625" s="23">
        <v>355.15030000000002</v>
      </c>
      <c r="C625" s="21">
        <v>11.204096841261499</v>
      </c>
    </row>
    <row r="626" spans="1:3">
      <c r="A626" s="20">
        <v>45229</v>
      </c>
      <c r="B626" s="23">
        <v>355.08859999999999</v>
      </c>
      <c r="C626" s="21">
        <v>11.2179650812612</v>
      </c>
    </row>
    <row r="627" spans="1:3">
      <c r="A627" s="20">
        <v>45228</v>
      </c>
      <c r="B627" s="23">
        <v>355.02690000000001</v>
      </c>
      <c r="C627" s="21">
        <v>11.2318416028202</v>
      </c>
    </row>
    <row r="628" spans="1:3">
      <c r="A628" s="20">
        <v>45227</v>
      </c>
      <c r="B628" s="23">
        <v>354.96530000000001</v>
      </c>
      <c r="C628" s="21">
        <v>11.245757753255299</v>
      </c>
    </row>
    <row r="629" spans="1:3">
      <c r="A629" s="20">
        <v>45226</v>
      </c>
      <c r="B629" s="23">
        <v>354.90359999999998</v>
      </c>
      <c r="C629" s="21">
        <v>11.2596508695658</v>
      </c>
    </row>
    <row r="630" spans="1:3">
      <c r="A630" s="20">
        <v>45225</v>
      </c>
      <c r="B630" s="23">
        <v>354.84190000000001</v>
      </c>
      <c r="C630" s="21">
        <v>11.273517395880001</v>
      </c>
    </row>
    <row r="631" spans="1:3">
      <c r="A631" s="20">
        <v>45224</v>
      </c>
      <c r="B631" s="23">
        <v>354.78030000000001</v>
      </c>
      <c r="C631" s="21">
        <v>11.2874584805407</v>
      </c>
    </row>
    <row r="632" spans="1:3">
      <c r="A632" s="20">
        <v>45223</v>
      </c>
      <c r="B632" s="23">
        <v>354.71870000000001</v>
      </c>
      <c r="C632" s="21">
        <v>11.301338055834099</v>
      </c>
    </row>
    <row r="633" spans="1:3">
      <c r="A633" s="20">
        <v>45222</v>
      </c>
      <c r="B633" s="23">
        <v>354.65710000000001</v>
      </c>
      <c r="C633" s="21">
        <v>11.3152608551</v>
      </c>
    </row>
    <row r="634" spans="1:3">
      <c r="A634" s="20">
        <v>45221</v>
      </c>
      <c r="B634" s="23">
        <v>354.59550000000002</v>
      </c>
      <c r="C634" s="21">
        <v>11.3291570241395</v>
      </c>
    </row>
    <row r="635" spans="1:3">
      <c r="A635" s="20">
        <v>45220</v>
      </c>
      <c r="B635" s="23">
        <v>354.53390000000002</v>
      </c>
      <c r="C635" s="21">
        <v>11.3430614938078</v>
      </c>
    </row>
    <row r="636" spans="1:3">
      <c r="A636" s="20">
        <v>45219</v>
      </c>
      <c r="B636" s="23">
        <v>354.47230000000002</v>
      </c>
      <c r="C636" s="21">
        <v>11.3569742715444</v>
      </c>
    </row>
    <row r="637" spans="1:3">
      <c r="A637" s="20">
        <v>45218</v>
      </c>
      <c r="B637" s="23">
        <v>354.41070000000002</v>
      </c>
      <c r="C637" s="21">
        <v>11.370860367343001</v>
      </c>
    </row>
    <row r="638" spans="1:3">
      <c r="A638" s="20">
        <v>45217</v>
      </c>
      <c r="B638" s="23">
        <v>354.34910000000002</v>
      </c>
      <c r="C638" s="21">
        <v>11.384754756456999</v>
      </c>
    </row>
    <row r="639" spans="1:3">
      <c r="A639" s="20">
        <v>45216</v>
      </c>
      <c r="B639" s="23">
        <v>354.2876</v>
      </c>
      <c r="C639" s="21">
        <v>11.398688889329099</v>
      </c>
    </row>
    <row r="640" spans="1:3">
      <c r="A640" s="20">
        <v>45215</v>
      </c>
      <c r="B640" s="23">
        <v>354.226</v>
      </c>
      <c r="C640" s="21">
        <v>11.4125998967732</v>
      </c>
    </row>
    <row r="641" spans="1:3">
      <c r="A641" s="20">
        <v>45214</v>
      </c>
      <c r="B641" s="23">
        <v>354.16449999999998</v>
      </c>
      <c r="C641" s="21">
        <v>11.4265156248722</v>
      </c>
    </row>
    <row r="642" spans="1:3">
      <c r="A642" s="20">
        <v>45213</v>
      </c>
      <c r="B642" s="23">
        <v>354.0822</v>
      </c>
      <c r="C642" s="21">
        <v>11.4383125987644</v>
      </c>
    </row>
    <row r="643" spans="1:3">
      <c r="A643" s="20">
        <v>45212</v>
      </c>
      <c r="B643" s="23">
        <v>353.99990000000003</v>
      </c>
      <c r="C643" s="21">
        <v>11.450117557869101</v>
      </c>
    </row>
    <row r="644" spans="1:3">
      <c r="A644" s="20">
        <v>45211</v>
      </c>
      <c r="B644" s="23">
        <v>353.91759999999999</v>
      </c>
      <c r="C644" s="21">
        <v>11.4618954067637</v>
      </c>
    </row>
    <row r="645" spans="1:3">
      <c r="A645" s="20">
        <v>45210</v>
      </c>
      <c r="B645" s="23">
        <v>353.83530000000002</v>
      </c>
      <c r="C645" s="21">
        <v>11.473681225899099</v>
      </c>
    </row>
    <row r="646" spans="1:3">
      <c r="A646" s="20">
        <v>45209</v>
      </c>
      <c r="B646" s="23">
        <v>353.75299999999999</v>
      </c>
      <c r="C646" s="21">
        <v>11.4854750233684</v>
      </c>
    </row>
    <row r="647" spans="1:3">
      <c r="A647" s="20">
        <v>45208</v>
      </c>
      <c r="B647" s="23">
        <v>353.67079999999999</v>
      </c>
      <c r="C647" s="21">
        <v>11.4972731826761</v>
      </c>
    </row>
    <row r="648" spans="1:3">
      <c r="A648" s="20">
        <v>45207</v>
      </c>
      <c r="B648" s="23">
        <v>353.58850000000001</v>
      </c>
      <c r="C648" s="21">
        <v>11.5090477902452</v>
      </c>
    </row>
    <row r="649" spans="1:3">
      <c r="A649" s="20">
        <v>45206</v>
      </c>
      <c r="B649" s="23">
        <v>353.50630000000001</v>
      </c>
      <c r="C649" s="21">
        <v>11.520826734741</v>
      </c>
    </row>
    <row r="650" spans="1:3">
      <c r="A650" s="20">
        <v>45205</v>
      </c>
      <c r="B650" s="23">
        <v>353.42410000000001</v>
      </c>
      <c r="C650" s="21">
        <v>11.5326136488433</v>
      </c>
    </row>
    <row r="651" spans="1:3">
      <c r="A651" s="20">
        <v>45204</v>
      </c>
      <c r="B651" s="23">
        <v>353.34199999999998</v>
      </c>
      <c r="C651" s="21">
        <v>11.5444401090499</v>
      </c>
    </row>
    <row r="652" spans="1:3">
      <c r="A652" s="20">
        <v>45203</v>
      </c>
      <c r="B652" s="23">
        <v>353.25979999999998</v>
      </c>
      <c r="C652" s="21">
        <v>11.5562077688967</v>
      </c>
    </row>
    <row r="653" spans="1:3">
      <c r="A653" s="20">
        <v>45202</v>
      </c>
      <c r="B653" s="23">
        <v>353.17770000000002</v>
      </c>
      <c r="C653" s="21">
        <v>11.5680149811314</v>
      </c>
    </row>
    <row r="654" spans="1:3">
      <c r="A654" s="20">
        <v>45201</v>
      </c>
      <c r="B654" s="23">
        <v>353.09559999999999</v>
      </c>
      <c r="C654" s="21">
        <v>11.5798301854536</v>
      </c>
    </row>
    <row r="655" spans="1:3">
      <c r="A655" s="20">
        <v>45200</v>
      </c>
      <c r="B655" s="23">
        <v>353.01350000000002</v>
      </c>
      <c r="C655" s="21">
        <v>11.591618114578401</v>
      </c>
    </row>
    <row r="656" spans="1:3">
      <c r="A656" s="20">
        <v>45199</v>
      </c>
      <c r="B656" s="23">
        <v>352.9314</v>
      </c>
      <c r="C656" s="21">
        <v>11.6034140206826</v>
      </c>
    </row>
    <row r="657" spans="1:3">
      <c r="A657" s="20">
        <v>45198</v>
      </c>
      <c r="B657" s="23">
        <v>352.8494</v>
      </c>
      <c r="C657" s="21">
        <v>11.615249544412199</v>
      </c>
    </row>
    <row r="658" spans="1:3">
      <c r="A658" s="20">
        <v>45197</v>
      </c>
      <c r="B658" s="23">
        <v>352.76729999999998</v>
      </c>
      <c r="C658" s="21">
        <v>11.627026117069899</v>
      </c>
    </row>
    <row r="659" spans="1:3">
      <c r="A659" s="20">
        <v>45196</v>
      </c>
      <c r="B659" s="23">
        <v>352.68529999999998</v>
      </c>
      <c r="C659" s="21">
        <v>11.6388423136128</v>
      </c>
    </row>
    <row r="660" spans="1:3">
      <c r="A660" s="20">
        <v>45195</v>
      </c>
      <c r="B660" s="23">
        <v>352.60329999999999</v>
      </c>
      <c r="C660" s="21">
        <v>11.650631155807501</v>
      </c>
    </row>
    <row r="661" spans="1:3">
      <c r="A661" s="20">
        <v>45194</v>
      </c>
      <c r="B661" s="23">
        <v>352.5213</v>
      </c>
      <c r="C661" s="21">
        <v>11.662463343665801</v>
      </c>
    </row>
    <row r="662" spans="1:3">
      <c r="A662" s="20">
        <v>45193</v>
      </c>
      <c r="B662" s="23">
        <v>352.43939999999998</v>
      </c>
      <c r="C662" s="21">
        <v>11.674264462878</v>
      </c>
    </row>
    <row r="663" spans="1:3">
      <c r="A663" s="20">
        <v>45192</v>
      </c>
      <c r="B663" s="23">
        <v>352.35739999999998</v>
      </c>
      <c r="C663" s="21">
        <v>11.6860772685966</v>
      </c>
    </row>
    <row r="664" spans="1:3">
      <c r="A664" s="20">
        <v>45191</v>
      </c>
      <c r="B664" s="23">
        <v>352.27550000000002</v>
      </c>
      <c r="C664" s="21">
        <v>11.697894365697</v>
      </c>
    </row>
    <row r="665" spans="1:3">
      <c r="A665" s="20">
        <v>45190</v>
      </c>
      <c r="B665" s="23">
        <v>352.1936</v>
      </c>
      <c r="C665" s="21">
        <v>11.7096840290311</v>
      </c>
    </row>
    <row r="666" spans="1:3">
      <c r="A666" s="20">
        <v>45189</v>
      </c>
      <c r="B666" s="23">
        <v>352.11169999999998</v>
      </c>
      <c r="C666" s="21">
        <v>11.7215171157325</v>
      </c>
    </row>
    <row r="667" spans="1:3">
      <c r="A667" s="20">
        <v>45188</v>
      </c>
      <c r="B667" s="23">
        <v>352.0299</v>
      </c>
      <c r="C667" s="21">
        <v>11.733354493156099</v>
      </c>
    </row>
    <row r="668" spans="1:3">
      <c r="A668" s="20">
        <v>45187</v>
      </c>
      <c r="B668" s="23">
        <v>351.94799999999998</v>
      </c>
      <c r="C668" s="21">
        <v>11.74513265345</v>
      </c>
    </row>
    <row r="669" spans="1:3">
      <c r="A669" s="20">
        <v>45186</v>
      </c>
      <c r="B669" s="23">
        <v>351.86619999999999</v>
      </c>
      <c r="C669" s="21">
        <v>11.756986038404399</v>
      </c>
    </row>
    <row r="670" spans="1:3">
      <c r="A670" s="20">
        <v>45185</v>
      </c>
      <c r="B670" s="23">
        <v>351.78440000000001</v>
      </c>
      <c r="C670" s="21">
        <v>11.768776430293901</v>
      </c>
    </row>
    <row r="671" spans="1:3">
      <c r="A671" s="20">
        <v>45184</v>
      </c>
      <c r="B671" s="23">
        <v>351.70260000000002</v>
      </c>
      <c r="C671" s="21">
        <v>11.780610323341399</v>
      </c>
    </row>
    <row r="672" spans="1:3">
      <c r="A672" s="20">
        <v>45183</v>
      </c>
      <c r="B672" s="23">
        <v>351.64600000000002</v>
      </c>
      <c r="C672" s="21">
        <v>11.7917207378306</v>
      </c>
    </row>
    <row r="673" spans="1:3">
      <c r="A673" s="20">
        <v>45182</v>
      </c>
      <c r="B673" s="23">
        <v>351.58940000000001</v>
      </c>
      <c r="C673" s="21">
        <v>11.802801386956199</v>
      </c>
    </row>
    <row r="674" spans="1:3">
      <c r="A674" s="20">
        <v>45181</v>
      </c>
      <c r="B674" s="23">
        <v>351.53289999999998</v>
      </c>
      <c r="C674" s="21">
        <v>11.8139551749112</v>
      </c>
    </row>
    <row r="675" spans="1:3">
      <c r="A675" s="20">
        <v>45180</v>
      </c>
      <c r="B675" s="23">
        <v>351.47629999999998</v>
      </c>
      <c r="C675" s="21">
        <v>11.8250473817016</v>
      </c>
    </row>
    <row r="676" spans="1:3">
      <c r="A676" s="20">
        <v>45179</v>
      </c>
      <c r="B676" s="23">
        <v>351.41980000000001</v>
      </c>
      <c r="C676" s="21">
        <v>11.836177187660001</v>
      </c>
    </row>
    <row r="677" spans="1:3">
      <c r="A677" s="20">
        <v>45178</v>
      </c>
      <c r="B677" s="23">
        <v>351.36320000000001</v>
      </c>
      <c r="C677" s="21">
        <v>11.8472453537468</v>
      </c>
    </row>
    <row r="678" spans="1:3">
      <c r="A678" s="20">
        <v>45177</v>
      </c>
      <c r="B678" s="23">
        <v>351.30669999999998</v>
      </c>
      <c r="C678" s="21">
        <v>11.858386735433999</v>
      </c>
    </row>
    <row r="679" spans="1:3">
      <c r="A679" s="20">
        <v>45176</v>
      </c>
      <c r="B679" s="23">
        <v>351.25020000000001</v>
      </c>
      <c r="C679" s="21">
        <v>11.8694982930555</v>
      </c>
    </row>
    <row r="680" spans="1:3">
      <c r="A680" s="20">
        <v>45175</v>
      </c>
      <c r="B680" s="23">
        <v>351.19369999999998</v>
      </c>
      <c r="C680" s="21">
        <v>11.880615634768199</v>
      </c>
    </row>
    <row r="681" spans="1:3">
      <c r="A681" s="20">
        <v>45174</v>
      </c>
      <c r="B681" s="23">
        <v>351.13720000000001</v>
      </c>
      <c r="C681" s="21">
        <v>11.891738765089499</v>
      </c>
    </row>
    <row r="682" spans="1:3">
      <c r="A682" s="20">
        <v>45173</v>
      </c>
      <c r="B682" s="23">
        <v>351.08069999999998</v>
      </c>
      <c r="C682" s="21">
        <v>11.902832020822499</v>
      </c>
    </row>
    <row r="683" spans="1:3">
      <c r="A683" s="20">
        <v>45172</v>
      </c>
      <c r="B683" s="23">
        <v>351.02420000000001</v>
      </c>
      <c r="C683" s="21">
        <v>11.9139667290919</v>
      </c>
    </row>
    <row r="684" spans="1:3">
      <c r="A684" s="20">
        <v>45171</v>
      </c>
      <c r="B684" s="23">
        <v>350.96769999999998</v>
      </c>
      <c r="C684" s="21">
        <v>11.925071546156</v>
      </c>
    </row>
    <row r="685" spans="1:3">
      <c r="A685" s="20">
        <v>45170</v>
      </c>
      <c r="B685" s="23">
        <v>350.91129999999998</v>
      </c>
      <c r="C685" s="21">
        <v>11.936214042965</v>
      </c>
    </row>
    <row r="686" spans="1:3">
      <c r="A686" s="20">
        <v>45169</v>
      </c>
      <c r="B686" s="23">
        <v>350.85480000000001</v>
      </c>
      <c r="C686" s="21">
        <v>11.947294715847301</v>
      </c>
    </row>
    <row r="687" spans="1:3">
      <c r="A687" s="20">
        <v>45168</v>
      </c>
      <c r="B687" s="23">
        <v>350.79840000000002</v>
      </c>
      <c r="C687" s="21">
        <v>11.9584488003189</v>
      </c>
    </row>
    <row r="688" spans="1:3">
      <c r="A688" s="20">
        <v>45167</v>
      </c>
      <c r="B688" s="23">
        <v>350.74189999999999</v>
      </c>
      <c r="C688" s="21">
        <v>11.9695410276088</v>
      </c>
    </row>
    <row r="689" spans="1:3">
      <c r="A689" s="20">
        <v>45166</v>
      </c>
      <c r="B689" s="23">
        <v>350.68549999999999</v>
      </c>
      <c r="C689" s="21">
        <v>11.9806709602348</v>
      </c>
    </row>
    <row r="690" spans="1:3">
      <c r="A690" s="20">
        <v>45165</v>
      </c>
      <c r="B690" s="23">
        <v>350.62909999999999</v>
      </c>
      <c r="C690" s="21">
        <v>11.9918066873937</v>
      </c>
    </row>
    <row r="691" spans="1:3">
      <c r="A691" s="20">
        <v>45164</v>
      </c>
      <c r="B691" s="23">
        <v>350.5727</v>
      </c>
      <c r="C691" s="21">
        <v>12.0029482136119</v>
      </c>
    </row>
    <row r="692" spans="1:3">
      <c r="A692" s="20">
        <v>45163</v>
      </c>
      <c r="B692" s="23">
        <v>350.5163</v>
      </c>
      <c r="C692" s="21">
        <v>12.0140597472147</v>
      </c>
    </row>
    <row r="693" spans="1:3">
      <c r="A693" s="20">
        <v>45162</v>
      </c>
      <c r="B693" s="23">
        <v>350.4599</v>
      </c>
      <c r="C693" s="21">
        <v>12.0251770631853</v>
      </c>
    </row>
    <row r="694" spans="1:3">
      <c r="A694" s="20">
        <v>45161</v>
      </c>
      <c r="B694" s="23">
        <v>350.40350000000001</v>
      </c>
      <c r="C694" s="21">
        <v>12.0363001660384</v>
      </c>
    </row>
    <row r="695" spans="1:3">
      <c r="A695" s="20">
        <v>45160</v>
      </c>
      <c r="B695" s="23">
        <v>350.34710000000001</v>
      </c>
      <c r="C695" s="21">
        <v>12.0474290602937</v>
      </c>
    </row>
    <row r="696" spans="1:3">
      <c r="A696" s="20">
        <v>45159</v>
      </c>
      <c r="B696" s="23">
        <v>350.29079999999999</v>
      </c>
      <c r="C696" s="21">
        <v>12.0585957406378</v>
      </c>
    </row>
    <row r="697" spans="1:3">
      <c r="A697" s="20">
        <v>45158</v>
      </c>
      <c r="B697" s="23">
        <v>350.23439999999999</v>
      </c>
      <c r="C697" s="21">
        <v>12.069700378989999</v>
      </c>
    </row>
    <row r="698" spans="1:3">
      <c r="A698" s="20">
        <v>45157</v>
      </c>
      <c r="B698" s="23">
        <v>350.17809999999997</v>
      </c>
      <c r="C698" s="21">
        <v>12.080842803348499</v>
      </c>
    </row>
    <row r="699" spans="1:3">
      <c r="A699" s="20">
        <v>45156</v>
      </c>
      <c r="B699" s="23">
        <v>350.12180000000001</v>
      </c>
      <c r="C699" s="21">
        <v>12.091991028076601</v>
      </c>
    </row>
    <row r="700" spans="1:3">
      <c r="A700" s="20">
        <v>45155</v>
      </c>
      <c r="B700" s="23">
        <v>350.06540000000001</v>
      </c>
      <c r="C700" s="21">
        <v>12.103113034227601</v>
      </c>
    </row>
    <row r="701" spans="1:3">
      <c r="A701" s="20">
        <v>45154</v>
      </c>
      <c r="B701" s="23">
        <v>350.00909999999999</v>
      </c>
      <c r="C701" s="21">
        <v>12.1142728649513</v>
      </c>
    </row>
    <row r="702" spans="1:3">
      <c r="A702" s="20">
        <v>45153</v>
      </c>
      <c r="B702" s="23">
        <v>349.95280000000002</v>
      </c>
      <c r="C702" s="21">
        <v>12.1254025844867</v>
      </c>
    </row>
    <row r="703" spans="1:3">
      <c r="A703" s="20">
        <v>45152</v>
      </c>
      <c r="B703" s="23">
        <v>349.91899999999998</v>
      </c>
      <c r="C703" s="21">
        <v>12.132967930238401</v>
      </c>
    </row>
    <row r="704" spans="1:3">
      <c r="A704" s="20">
        <v>45151</v>
      </c>
      <c r="B704" s="23">
        <v>349.8852</v>
      </c>
      <c r="C704" s="21">
        <v>12.140535758927699</v>
      </c>
    </row>
    <row r="705" spans="1:3">
      <c r="A705" s="20">
        <v>45150</v>
      </c>
      <c r="B705" s="23">
        <v>349.85140000000001</v>
      </c>
      <c r="C705" s="21">
        <v>12.1481060717771</v>
      </c>
    </row>
    <row r="706" spans="1:3">
      <c r="A706" s="20">
        <v>45149</v>
      </c>
      <c r="B706" s="23">
        <v>349.81760000000003</v>
      </c>
      <c r="C706" s="21">
        <v>12.155678870009799</v>
      </c>
    </row>
    <row r="707" spans="1:3">
      <c r="A707" s="20">
        <v>45148</v>
      </c>
      <c r="B707" s="23">
        <v>349.78379999999999</v>
      </c>
      <c r="C707" s="21">
        <v>12.1632541548502</v>
      </c>
    </row>
    <row r="708" spans="1:3">
      <c r="A708" s="20">
        <v>45147</v>
      </c>
      <c r="B708" s="23">
        <v>349.75</v>
      </c>
      <c r="C708" s="21">
        <v>12.170831927523</v>
      </c>
    </row>
    <row r="709" spans="1:3">
      <c r="A709" s="20">
        <v>45146</v>
      </c>
      <c r="B709" s="23">
        <v>349.71620000000001</v>
      </c>
      <c r="C709" s="21">
        <v>12.178376205813599</v>
      </c>
    </row>
    <row r="710" spans="1:3">
      <c r="A710" s="20">
        <v>45145</v>
      </c>
      <c r="B710" s="23">
        <v>349.68239999999997</v>
      </c>
      <c r="C710" s="21">
        <v>12.185958949486199</v>
      </c>
    </row>
    <row r="711" spans="1:3">
      <c r="A711" s="20">
        <v>45144</v>
      </c>
      <c r="B711" s="23">
        <v>349.64859999999999</v>
      </c>
      <c r="C711" s="21">
        <v>12.193508184559599</v>
      </c>
    </row>
    <row r="712" spans="1:3">
      <c r="A712" s="20">
        <v>45143</v>
      </c>
      <c r="B712" s="23">
        <v>349.6148</v>
      </c>
      <c r="C712" s="21">
        <v>12.2010959041273</v>
      </c>
    </row>
    <row r="713" spans="1:3">
      <c r="A713" s="20">
        <v>45142</v>
      </c>
      <c r="B713" s="23">
        <v>349.58100000000002</v>
      </c>
      <c r="C713" s="21">
        <v>12.2086501008681</v>
      </c>
    </row>
    <row r="714" spans="1:3">
      <c r="A714" s="20">
        <v>45141</v>
      </c>
      <c r="B714" s="23">
        <v>349.54730000000001</v>
      </c>
      <c r="C714" s="21">
        <v>12.216238879414799</v>
      </c>
    </row>
    <row r="715" spans="1:3">
      <c r="A715" s="20">
        <v>45140</v>
      </c>
      <c r="B715" s="23">
        <v>349.51350000000002</v>
      </c>
      <c r="C715" s="21">
        <v>12.223798039643199</v>
      </c>
    </row>
    <row r="716" spans="1:3">
      <c r="A716" s="20">
        <v>45139</v>
      </c>
      <c r="B716" s="23">
        <v>349.47969999999998</v>
      </c>
      <c r="C716" s="21">
        <v>12.2313596808141</v>
      </c>
    </row>
    <row r="717" spans="1:3">
      <c r="A717" s="20">
        <v>45138</v>
      </c>
      <c r="B717" s="23">
        <v>349.44600000000003</v>
      </c>
      <c r="C717" s="21">
        <v>12.238955923262299</v>
      </c>
    </row>
    <row r="718" spans="1:3">
      <c r="A718" s="20">
        <v>45137</v>
      </c>
      <c r="B718" s="23">
        <v>349.41219999999998</v>
      </c>
      <c r="C718" s="21">
        <v>12.246522535256499</v>
      </c>
    </row>
    <row r="719" spans="1:3">
      <c r="A719" s="20">
        <v>45136</v>
      </c>
      <c r="B719" s="23">
        <v>349.3784</v>
      </c>
      <c r="C719" s="21">
        <v>12.254091631862201</v>
      </c>
    </row>
    <row r="720" spans="1:3">
      <c r="A720" s="20">
        <v>45135</v>
      </c>
      <c r="B720" s="23">
        <v>349.34469999999999</v>
      </c>
      <c r="C720" s="21">
        <v>12.2616953492393</v>
      </c>
    </row>
    <row r="721" spans="1:3">
      <c r="A721" s="20">
        <v>45134</v>
      </c>
      <c r="B721" s="23">
        <v>349.3109</v>
      </c>
      <c r="C721" s="21">
        <v>12.269233340447</v>
      </c>
    </row>
    <row r="722" spans="1:3">
      <c r="A722" s="20">
        <v>45133</v>
      </c>
      <c r="B722" s="23">
        <v>349.27719999999999</v>
      </c>
      <c r="C722" s="21">
        <v>12.276842040633801</v>
      </c>
    </row>
    <row r="723" spans="1:3">
      <c r="A723" s="20">
        <v>45132</v>
      </c>
      <c r="B723" s="23">
        <v>349.24340000000001</v>
      </c>
      <c r="C723" s="21">
        <v>12.284384989842</v>
      </c>
    </row>
    <row r="724" spans="1:3">
      <c r="A724" s="20">
        <v>45131</v>
      </c>
      <c r="B724" s="23">
        <v>349.2097</v>
      </c>
      <c r="C724" s="21">
        <v>12.2919986777438</v>
      </c>
    </row>
    <row r="725" spans="1:3">
      <c r="A725" s="20">
        <v>45130</v>
      </c>
      <c r="B725" s="23">
        <v>349.17590000000001</v>
      </c>
      <c r="C725" s="21">
        <v>12.2995465898397</v>
      </c>
    </row>
    <row r="726" spans="1:3">
      <c r="A726" s="20">
        <v>45129</v>
      </c>
      <c r="B726" s="23">
        <v>349.1422</v>
      </c>
      <c r="C726" s="21">
        <v>12.3071291449864</v>
      </c>
    </row>
    <row r="727" spans="1:3">
      <c r="A727" s="20">
        <v>45128</v>
      </c>
      <c r="B727" s="23">
        <v>349.10840000000002</v>
      </c>
      <c r="C727" s="21">
        <v>12.314682016506699</v>
      </c>
    </row>
    <row r="728" spans="1:3">
      <c r="A728" s="20">
        <v>45127</v>
      </c>
      <c r="B728" s="23">
        <v>349.07470000000001</v>
      </c>
      <c r="C728" s="21">
        <v>12.322269544075599</v>
      </c>
    </row>
    <row r="729" spans="1:3">
      <c r="A729" s="20">
        <v>45126</v>
      </c>
      <c r="B729" s="23">
        <v>349.041</v>
      </c>
      <c r="C729" s="21">
        <v>12.329859562331899</v>
      </c>
    </row>
    <row r="730" spans="1:3">
      <c r="A730" s="20">
        <v>45125</v>
      </c>
      <c r="B730" s="23">
        <v>349.00729999999999</v>
      </c>
      <c r="C730" s="21">
        <v>12.337452072502201</v>
      </c>
    </row>
    <row r="731" spans="1:3">
      <c r="A731" s="20">
        <v>45124</v>
      </c>
      <c r="B731" s="23">
        <v>348.9735</v>
      </c>
      <c r="C731" s="21">
        <v>12.345014882820699</v>
      </c>
    </row>
    <row r="732" spans="1:3">
      <c r="A732" s="20">
        <v>45123</v>
      </c>
      <c r="B732" s="23">
        <v>348.93979999999999</v>
      </c>
      <c r="C732" s="21">
        <v>12.352576199619</v>
      </c>
    </row>
    <row r="733" spans="1:3">
      <c r="A733" s="20">
        <v>45122</v>
      </c>
      <c r="B733" s="23">
        <v>348.90609999999998</v>
      </c>
      <c r="C733" s="21">
        <v>12.360176179221799</v>
      </c>
    </row>
    <row r="734" spans="1:3">
      <c r="A734" s="20">
        <v>45121</v>
      </c>
      <c r="B734" s="23">
        <v>348.8562</v>
      </c>
      <c r="C734" s="21">
        <v>12.375446183957401</v>
      </c>
    </row>
    <row r="735" spans="1:3">
      <c r="A735" s="20">
        <v>45120</v>
      </c>
      <c r="B735" s="23">
        <v>348.80630000000002</v>
      </c>
      <c r="C735" s="21">
        <v>12.390688496531</v>
      </c>
    </row>
    <row r="736" spans="1:3">
      <c r="A736" s="20">
        <v>45119</v>
      </c>
      <c r="B736" s="23">
        <v>348.75639999999999</v>
      </c>
      <c r="C736" s="21">
        <v>12.4059755370409</v>
      </c>
    </row>
    <row r="737" spans="1:3">
      <c r="A737" s="20">
        <v>45118</v>
      </c>
      <c r="B737" s="23">
        <v>348.70650000000001</v>
      </c>
      <c r="C737" s="21">
        <v>12.421234869599299</v>
      </c>
    </row>
    <row r="738" spans="1:3">
      <c r="A738" s="20">
        <v>45117</v>
      </c>
      <c r="B738" s="23">
        <v>348.65660000000003</v>
      </c>
      <c r="C738" s="21">
        <v>12.436466456256101</v>
      </c>
    </row>
    <row r="739" spans="1:3">
      <c r="A739" s="20">
        <v>45116</v>
      </c>
      <c r="B739" s="23">
        <v>348.60680000000002</v>
      </c>
      <c r="C739" s="21">
        <v>12.451775064708499</v>
      </c>
    </row>
    <row r="740" spans="1:3">
      <c r="A740" s="20">
        <v>45115</v>
      </c>
      <c r="B740" s="23">
        <v>348.55689999999998</v>
      </c>
      <c r="C740" s="21">
        <v>12.4670236629418</v>
      </c>
    </row>
    <row r="741" spans="1:3">
      <c r="A741" s="20">
        <v>45114</v>
      </c>
      <c r="B741" s="23">
        <v>348.50709999999998</v>
      </c>
      <c r="C741" s="21">
        <v>12.482313041098299</v>
      </c>
    </row>
    <row r="742" spans="1:3">
      <c r="A742" s="20">
        <v>45113</v>
      </c>
      <c r="B742" s="23">
        <v>348.4572</v>
      </c>
      <c r="C742" s="21">
        <v>12.497578664352501</v>
      </c>
    </row>
    <row r="743" spans="1:3">
      <c r="A743" s="20">
        <v>45112</v>
      </c>
      <c r="B743" s="23">
        <v>348.4074</v>
      </c>
      <c r="C743" s="21">
        <v>12.512885099786899</v>
      </c>
    </row>
    <row r="744" spans="1:3">
      <c r="A744" s="20">
        <v>45111</v>
      </c>
      <c r="B744" s="23">
        <v>348.35759999999999</v>
      </c>
      <c r="C744" s="21">
        <v>12.528163729670799</v>
      </c>
    </row>
    <row r="745" spans="1:3">
      <c r="A745" s="20">
        <v>45110</v>
      </c>
      <c r="B745" s="23">
        <v>348.30779999999999</v>
      </c>
      <c r="C745" s="21">
        <v>12.5434508803912</v>
      </c>
    </row>
    <row r="746" spans="1:3">
      <c r="A746" s="20">
        <v>45109</v>
      </c>
      <c r="B746" s="23">
        <v>348.25790000000001</v>
      </c>
      <c r="C746" s="21">
        <v>12.558714238572501</v>
      </c>
    </row>
    <row r="747" spans="1:3">
      <c r="A747" s="20">
        <v>45108</v>
      </c>
      <c r="B747" s="23">
        <v>348.2081</v>
      </c>
      <c r="C747" s="21">
        <v>12.573982048714701</v>
      </c>
    </row>
    <row r="748" spans="1:3">
      <c r="A748" s="20">
        <v>45107</v>
      </c>
      <c r="B748" s="23">
        <v>348.1583</v>
      </c>
      <c r="C748" s="21">
        <v>12.589294780625099</v>
      </c>
    </row>
    <row r="749" spans="1:3">
      <c r="A749" s="20">
        <v>45106</v>
      </c>
      <c r="B749" s="23">
        <v>348.10849999999999</v>
      </c>
      <c r="C749" s="21">
        <v>12.604579637086299</v>
      </c>
    </row>
    <row r="750" spans="1:3">
      <c r="A750" s="20">
        <v>45105</v>
      </c>
      <c r="B750" s="23">
        <v>348.05880000000002</v>
      </c>
      <c r="C750" s="21">
        <v>12.619905376433101</v>
      </c>
    </row>
    <row r="751" spans="1:3">
      <c r="A751" s="20">
        <v>45104</v>
      </c>
      <c r="B751" s="23">
        <v>348.00900000000001</v>
      </c>
      <c r="C751" s="21">
        <v>12.6351708466288</v>
      </c>
    </row>
    <row r="752" spans="1:3">
      <c r="A752" s="20">
        <v>45103</v>
      </c>
      <c r="B752" s="23">
        <v>347.95920000000001</v>
      </c>
      <c r="C752" s="21">
        <v>12.6504812973418</v>
      </c>
    </row>
    <row r="753" spans="1:3">
      <c r="A753" s="20">
        <v>45102</v>
      </c>
      <c r="B753" s="23">
        <v>347.90940000000001</v>
      </c>
      <c r="C753" s="21">
        <v>12.6657638104935</v>
      </c>
    </row>
    <row r="754" spans="1:3">
      <c r="A754" s="20">
        <v>45101</v>
      </c>
      <c r="B754" s="23">
        <v>347.85969999999998</v>
      </c>
      <c r="C754" s="21">
        <v>12.681087240943601</v>
      </c>
    </row>
    <row r="755" spans="1:3">
      <c r="A755" s="20">
        <v>45100</v>
      </c>
      <c r="B755" s="23">
        <v>347.80990000000003</v>
      </c>
      <c r="C755" s="21">
        <v>12.6963503039442</v>
      </c>
    </row>
    <row r="756" spans="1:3">
      <c r="A756" s="20">
        <v>45099</v>
      </c>
      <c r="B756" s="23">
        <v>347.7602</v>
      </c>
      <c r="C756" s="21">
        <v>12.7116908169972</v>
      </c>
    </row>
    <row r="757" spans="1:3">
      <c r="A757" s="20">
        <v>45098</v>
      </c>
      <c r="B757" s="23">
        <v>347.71050000000002</v>
      </c>
      <c r="C757" s="21">
        <v>12.7270033483156</v>
      </c>
    </row>
    <row r="758" spans="1:3">
      <c r="A758" s="20">
        <v>45097</v>
      </c>
      <c r="B758" s="23">
        <v>347.66070000000002</v>
      </c>
      <c r="C758" s="21">
        <v>12.7422919917657</v>
      </c>
    </row>
    <row r="759" spans="1:3">
      <c r="A759" s="20">
        <v>45096</v>
      </c>
      <c r="B759" s="23">
        <v>347.61099999999999</v>
      </c>
      <c r="C759" s="21">
        <v>12.757621603105701</v>
      </c>
    </row>
    <row r="760" spans="1:3">
      <c r="A760" s="20">
        <v>45095</v>
      </c>
      <c r="B760" s="23">
        <v>347.56130000000002</v>
      </c>
      <c r="C760" s="21">
        <v>12.7729231783571</v>
      </c>
    </row>
    <row r="761" spans="1:3">
      <c r="A761" s="20">
        <v>45094</v>
      </c>
      <c r="B761" s="23">
        <v>347.51159999999999</v>
      </c>
      <c r="C761" s="21">
        <v>12.788233285666299</v>
      </c>
    </row>
    <row r="762" spans="1:3">
      <c r="A762" s="20">
        <v>45093</v>
      </c>
      <c r="B762" s="23">
        <v>347.46190000000001</v>
      </c>
      <c r="C762" s="21">
        <v>12.8035519321715</v>
      </c>
    </row>
    <row r="763" spans="1:3">
      <c r="A763" s="20">
        <v>45092</v>
      </c>
      <c r="B763" s="23">
        <v>347.41219999999998</v>
      </c>
      <c r="C763" s="21">
        <v>12.8188791250187</v>
      </c>
    </row>
    <row r="764" spans="1:3">
      <c r="A764" s="20">
        <v>45091</v>
      </c>
      <c r="B764" s="23">
        <v>347.3252</v>
      </c>
      <c r="C764" s="21">
        <v>12.835843394043</v>
      </c>
    </row>
    <row r="765" spans="1:3">
      <c r="A765" s="20">
        <v>45090</v>
      </c>
      <c r="B765" s="23">
        <v>347.23809999999997</v>
      </c>
      <c r="C765" s="21">
        <v>12.852752092763099</v>
      </c>
    </row>
    <row r="766" spans="1:3">
      <c r="A766" s="20">
        <v>45089</v>
      </c>
      <c r="B766" s="23">
        <v>347.15109999999999</v>
      </c>
      <c r="C766" s="21">
        <v>12.8697068615721</v>
      </c>
    </row>
    <row r="767" spans="1:3">
      <c r="A767" s="20">
        <v>45088</v>
      </c>
      <c r="B767" s="23">
        <v>347.0641</v>
      </c>
      <c r="C767" s="21">
        <v>12.8866385120191</v>
      </c>
    </row>
    <row r="768" spans="1:3">
      <c r="A768" s="20">
        <v>45087</v>
      </c>
      <c r="B768" s="23">
        <v>346.97710000000001</v>
      </c>
      <c r="C768" s="21">
        <v>12.9035837376872</v>
      </c>
    </row>
    <row r="769" spans="1:3">
      <c r="A769" s="20">
        <v>45086</v>
      </c>
      <c r="B769" s="23">
        <v>346.89019999999999</v>
      </c>
      <c r="C769" s="21">
        <v>12.920538348982801</v>
      </c>
    </row>
    <row r="770" spans="1:3">
      <c r="A770" s="20">
        <v>45085</v>
      </c>
      <c r="B770" s="23">
        <v>346.80329999999998</v>
      </c>
      <c r="C770" s="21">
        <v>12.937506553764999</v>
      </c>
    </row>
    <row r="771" spans="1:3">
      <c r="A771" s="20">
        <v>45084</v>
      </c>
      <c r="B771" s="23">
        <v>346.71629999999999</v>
      </c>
      <c r="C771" s="21">
        <v>12.954418991348501</v>
      </c>
    </row>
    <row r="772" spans="1:3">
      <c r="A772" s="20">
        <v>45083</v>
      </c>
      <c r="B772" s="23">
        <v>346.62950000000001</v>
      </c>
      <c r="C772" s="21">
        <v>12.971410171254799</v>
      </c>
    </row>
    <row r="773" spans="1:3">
      <c r="A773" s="20">
        <v>45082</v>
      </c>
      <c r="B773" s="23">
        <v>346.54259999999999</v>
      </c>
      <c r="C773" s="21">
        <v>12.9883455355527</v>
      </c>
    </row>
    <row r="774" spans="1:3">
      <c r="A774" s="20">
        <v>45081</v>
      </c>
      <c r="B774" s="23">
        <v>346.45569999999998</v>
      </c>
      <c r="C774" s="21">
        <v>13.0052944775911</v>
      </c>
    </row>
    <row r="775" spans="1:3">
      <c r="A775" s="20">
        <v>45080</v>
      </c>
      <c r="B775" s="23">
        <v>346.3689</v>
      </c>
      <c r="C775" s="21">
        <v>13.022252764464501</v>
      </c>
    </row>
    <row r="776" spans="1:3">
      <c r="A776" s="20">
        <v>45079</v>
      </c>
      <c r="B776" s="23">
        <v>346.28210000000001</v>
      </c>
      <c r="C776" s="21">
        <v>13.039224647285</v>
      </c>
    </row>
    <row r="777" spans="1:3">
      <c r="A777" s="20">
        <v>45078</v>
      </c>
      <c r="B777" s="23">
        <v>346.19529999999997</v>
      </c>
      <c r="C777" s="21">
        <v>13.0561732219128</v>
      </c>
    </row>
    <row r="778" spans="1:3">
      <c r="A778" s="20">
        <v>45077</v>
      </c>
      <c r="B778" s="23">
        <v>346.10860000000002</v>
      </c>
      <c r="C778" s="21">
        <v>13.073168054373101</v>
      </c>
    </row>
    <row r="779" spans="1:3">
      <c r="A779" s="20">
        <v>45076</v>
      </c>
      <c r="B779" s="23">
        <v>346.02179999999998</v>
      </c>
      <c r="C779" s="21">
        <v>13.090143834409799</v>
      </c>
    </row>
    <row r="780" spans="1:3">
      <c r="A780" s="20">
        <v>45075</v>
      </c>
      <c r="B780" s="23">
        <v>345.93509999999998</v>
      </c>
      <c r="C780" s="21">
        <v>13.107091968085999</v>
      </c>
    </row>
    <row r="781" spans="1:3">
      <c r="A781" s="20">
        <v>45074</v>
      </c>
      <c r="B781" s="23">
        <v>345.84840000000003</v>
      </c>
      <c r="C781" s="21">
        <v>13.124090685479199</v>
      </c>
    </row>
    <row r="782" spans="1:3">
      <c r="A782" s="20">
        <v>45073</v>
      </c>
      <c r="B782" s="23">
        <v>345.76179999999999</v>
      </c>
      <c r="C782" s="21">
        <v>13.141098741730699</v>
      </c>
    </row>
    <row r="783" spans="1:3">
      <c r="A783" s="20">
        <v>45072</v>
      </c>
      <c r="B783" s="23">
        <v>345.67509999999999</v>
      </c>
      <c r="C783" s="21">
        <v>13.158050660616301</v>
      </c>
    </row>
    <row r="784" spans="1:3">
      <c r="A784" s="20">
        <v>45071</v>
      </c>
      <c r="B784" s="23">
        <v>345.58850000000001</v>
      </c>
      <c r="C784" s="21">
        <v>13.175048918071401</v>
      </c>
    </row>
    <row r="785" spans="1:3">
      <c r="A785" s="20">
        <v>45070</v>
      </c>
      <c r="B785" s="23">
        <v>345.50189999999998</v>
      </c>
      <c r="C785" s="21">
        <v>13.1920237246556</v>
      </c>
    </row>
    <row r="786" spans="1:3">
      <c r="A786" s="20">
        <v>45069</v>
      </c>
      <c r="B786" s="23">
        <v>345.4153</v>
      </c>
      <c r="C786" s="21">
        <v>13.2090121394408</v>
      </c>
    </row>
    <row r="787" spans="1:3">
      <c r="A787" s="20">
        <v>45068</v>
      </c>
      <c r="B787" s="23">
        <v>345.32870000000003</v>
      </c>
      <c r="C787" s="21">
        <v>13.2260141787976</v>
      </c>
    </row>
    <row r="788" spans="1:3">
      <c r="A788" s="20">
        <v>45067</v>
      </c>
      <c r="B788" s="23">
        <v>345.24220000000003</v>
      </c>
      <c r="C788" s="21">
        <v>13.2430255152715</v>
      </c>
    </row>
    <row r="789" spans="1:3">
      <c r="A789" s="20">
        <v>45066</v>
      </c>
      <c r="B789" s="23">
        <v>345.15570000000002</v>
      </c>
      <c r="C789" s="21">
        <v>13.26001332912</v>
      </c>
    </row>
    <row r="790" spans="1:3">
      <c r="A790" s="20">
        <v>45065</v>
      </c>
      <c r="B790" s="23">
        <v>345.06920000000002</v>
      </c>
      <c r="C790" s="21">
        <v>13.277014761138499</v>
      </c>
    </row>
    <row r="791" spans="1:3">
      <c r="A791" s="20">
        <v>45064</v>
      </c>
      <c r="B791" s="23">
        <v>344.98270000000002</v>
      </c>
      <c r="C791" s="21">
        <v>13.294029827708901</v>
      </c>
    </row>
    <row r="792" spans="1:3">
      <c r="A792" s="20">
        <v>45063</v>
      </c>
      <c r="B792" s="23">
        <v>344.89620000000002</v>
      </c>
      <c r="C792" s="21">
        <v>13.3110213184108</v>
      </c>
    </row>
    <row r="793" spans="1:3">
      <c r="A793" s="20">
        <v>45062</v>
      </c>
      <c r="B793" s="23">
        <v>344.8098</v>
      </c>
      <c r="C793" s="21">
        <v>13.328022054951999</v>
      </c>
    </row>
    <row r="794" spans="1:3">
      <c r="A794" s="20">
        <v>45061</v>
      </c>
      <c r="B794" s="23">
        <v>344.72340000000003</v>
      </c>
      <c r="C794" s="21">
        <v>13.3450364195264</v>
      </c>
    </row>
    <row r="795" spans="1:3">
      <c r="A795" s="20">
        <v>45060</v>
      </c>
      <c r="B795" s="23">
        <v>344.60340000000002</v>
      </c>
      <c r="C795" s="21">
        <v>13.3431830635511</v>
      </c>
    </row>
    <row r="796" spans="1:3">
      <c r="A796" s="20">
        <v>45059</v>
      </c>
      <c r="B796" s="23">
        <v>344.48340000000002</v>
      </c>
      <c r="C796" s="21">
        <v>13.341291185669499</v>
      </c>
    </row>
    <row r="797" spans="1:3">
      <c r="A797" s="20">
        <v>45058</v>
      </c>
      <c r="B797" s="23">
        <v>344.36349999999999</v>
      </c>
      <c r="C797" s="21">
        <v>13.339430965218501</v>
      </c>
    </row>
    <row r="798" spans="1:3">
      <c r="A798" s="20">
        <v>45057</v>
      </c>
      <c r="B798" s="23">
        <v>344.24360000000001</v>
      </c>
      <c r="C798" s="21">
        <v>13.3375695100631</v>
      </c>
    </row>
    <row r="799" spans="1:3">
      <c r="A799" s="20">
        <v>45056</v>
      </c>
      <c r="B799" s="23">
        <v>344.12380000000002</v>
      </c>
      <c r="C799" s="21">
        <v>13.335702426915701</v>
      </c>
    </row>
    <row r="800" spans="1:3">
      <c r="A800" s="20">
        <v>45055</v>
      </c>
      <c r="B800" s="23">
        <v>344.00400000000002</v>
      </c>
      <c r="C800" s="21">
        <v>13.3338341049169</v>
      </c>
    </row>
    <row r="801" spans="1:3">
      <c r="A801" s="20">
        <v>45054</v>
      </c>
      <c r="B801" s="23">
        <v>343.88420000000002</v>
      </c>
      <c r="C801" s="21">
        <v>13.331964542833299</v>
      </c>
    </row>
    <row r="802" spans="1:3">
      <c r="A802" s="20">
        <v>45053</v>
      </c>
      <c r="B802" s="23">
        <v>343.7645</v>
      </c>
      <c r="C802" s="21">
        <v>13.330089344849499</v>
      </c>
    </row>
    <row r="803" spans="1:3">
      <c r="A803" s="20">
        <v>45052</v>
      </c>
      <c r="B803" s="23">
        <v>343.64490000000001</v>
      </c>
      <c r="C803" s="21">
        <v>13.3282458809279</v>
      </c>
    </row>
    <row r="804" spans="1:3">
      <c r="A804" s="20">
        <v>45051</v>
      </c>
      <c r="B804" s="23">
        <v>343.52519999999998</v>
      </c>
      <c r="C804" s="21">
        <v>13.326330818674</v>
      </c>
    </row>
    <row r="805" spans="1:3">
      <c r="A805" s="20">
        <v>45050</v>
      </c>
      <c r="B805" s="23">
        <v>343.40559999999999</v>
      </c>
      <c r="C805" s="21">
        <v>13.324484883605001</v>
      </c>
    </row>
    <row r="806" spans="1:3">
      <c r="A806" s="20">
        <v>45049</v>
      </c>
      <c r="B806" s="23">
        <v>343.28609999999998</v>
      </c>
      <c r="C806" s="21">
        <v>13.3225959154677</v>
      </c>
    </row>
    <row r="807" spans="1:3">
      <c r="A807" s="20">
        <v>45048</v>
      </c>
      <c r="B807" s="23">
        <v>343.16660000000002</v>
      </c>
      <c r="C807" s="21">
        <v>13.320743115639701</v>
      </c>
    </row>
    <row r="808" spans="1:3">
      <c r="A808" s="20">
        <v>45047</v>
      </c>
      <c r="B808" s="23">
        <v>343.0471</v>
      </c>
      <c r="C808" s="21">
        <v>13.318851652956299</v>
      </c>
    </row>
    <row r="809" spans="1:3">
      <c r="A809" s="20">
        <v>45046</v>
      </c>
      <c r="B809" s="23">
        <v>342.92770000000002</v>
      </c>
      <c r="C809" s="21">
        <v>13.316991979232499</v>
      </c>
    </row>
    <row r="810" spans="1:3">
      <c r="A810" s="20">
        <v>45045</v>
      </c>
      <c r="B810" s="23">
        <v>342.80829999999997</v>
      </c>
      <c r="C810" s="21">
        <v>13.3151310711624</v>
      </c>
    </row>
    <row r="811" spans="1:3">
      <c r="A811" s="20">
        <v>45044</v>
      </c>
      <c r="B811" s="23">
        <v>342.68900000000002</v>
      </c>
      <c r="C811" s="21">
        <v>13.3132645253619</v>
      </c>
    </row>
    <row r="812" spans="1:3">
      <c r="A812" s="20">
        <v>45043</v>
      </c>
      <c r="B812" s="23">
        <v>342.56970000000001</v>
      </c>
      <c r="C812" s="21">
        <v>13.311396741066501</v>
      </c>
    </row>
    <row r="813" spans="1:3">
      <c r="A813" s="20">
        <v>45042</v>
      </c>
      <c r="B813" s="23">
        <v>342.45049999999998</v>
      </c>
      <c r="C813" s="21">
        <v>13.3095608049086</v>
      </c>
    </row>
    <row r="814" spans="1:3">
      <c r="A814" s="20">
        <v>45041</v>
      </c>
      <c r="B814" s="23">
        <v>342.33120000000002</v>
      </c>
      <c r="C814" s="21">
        <v>13.307653047377</v>
      </c>
    </row>
    <row r="815" spans="1:3">
      <c r="A815" s="20">
        <v>45040</v>
      </c>
      <c r="B815" s="23">
        <v>342.21210000000002</v>
      </c>
      <c r="C815" s="21">
        <v>13.3058102436485</v>
      </c>
    </row>
    <row r="816" spans="1:3">
      <c r="A816" s="20">
        <v>45039</v>
      </c>
      <c r="B816" s="23">
        <v>342.09289999999999</v>
      </c>
      <c r="C816" s="21">
        <v>13.3038955688017</v>
      </c>
    </row>
    <row r="817" spans="1:3">
      <c r="A817" s="20">
        <v>45038</v>
      </c>
      <c r="B817" s="23">
        <v>341.97390000000001</v>
      </c>
      <c r="C817" s="21">
        <v>13.3020834265165</v>
      </c>
    </row>
    <row r="818" spans="1:3">
      <c r="A818" s="20">
        <v>45037</v>
      </c>
      <c r="B818" s="23">
        <v>341.85480000000001</v>
      </c>
      <c r="C818" s="21">
        <v>13.300161836162699</v>
      </c>
    </row>
    <row r="819" spans="1:3">
      <c r="A819" s="20">
        <v>45036</v>
      </c>
      <c r="B819" s="23">
        <v>341.73579999999998</v>
      </c>
      <c r="C819" s="21">
        <v>13.298309688062799</v>
      </c>
    </row>
    <row r="820" spans="1:3">
      <c r="A820" s="20">
        <v>45035</v>
      </c>
      <c r="B820" s="23">
        <v>341.61680000000001</v>
      </c>
      <c r="C820" s="21">
        <v>13.296418735706</v>
      </c>
    </row>
    <row r="821" spans="1:3">
      <c r="A821" s="20">
        <v>45034</v>
      </c>
      <c r="B821" s="23">
        <v>341.49790000000002</v>
      </c>
      <c r="C821" s="21">
        <v>13.294559704443699</v>
      </c>
    </row>
    <row r="822" spans="1:3">
      <c r="A822" s="20">
        <v>45033</v>
      </c>
      <c r="B822" s="23">
        <v>341.37900000000002</v>
      </c>
      <c r="C822" s="21">
        <v>13.292699439276101</v>
      </c>
    </row>
    <row r="823" spans="1:3">
      <c r="A823" s="20">
        <v>45032</v>
      </c>
      <c r="B823" s="23">
        <v>341.2602</v>
      </c>
      <c r="C823" s="21">
        <v>13.290833526710401</v>
      </c>
    </row>
    <row r="824" spans="1:3">
      <c r="A824" s="20">
        <v>45031</v>
      </c>
      <c r="B824" s="23">
        <v>341.14139999999998</v>
      </c>
      <c r="C824" s="21">
        <v>13.2889663760897</v>
      </c>
    </row>
    <row r="825" spans="1:3">
      <c r="A825" s="20">
        <v>45030</v>
      </c>
      <c r="B825" s="23">
        <v>340.96019999999999</v>
      </c>
      <c r="C825" s="21">
        <v>13.287857845352301</v>
      </c>
    </row>
    <row r="826" spans="1:3">
      <c r="A826" s="20">
        <v>45029</v>
      </c>
      <c r="B826" s="23">
        <v>340.7792</v>
      </c>
      <c r="C826" s="21">
        <v>13.286776983960999</v>
      </c>
    </row>
    <row r="827" spans="1:3">
      <c r="A827" s="20">
        <v>45028</v>
      </c>
      <c r="B827" s="23">
        <v>340.59829999999999</v>
      </c>
      <c r="C827" s="21">
        <v>13.285728255251399</v>
      </c>
    </row>
    <row r="828" spans="1:3">
      <c r="A828" s="20">
        <v>45027</v>
      </c>
      <c r="B828" s="23">
        <v>340.41739999999999</v>
      </c>
      <c r="C828" s="21">
        <v>13.2846407323325</v>
      </c>
    </row>
    <row r="829" spans="1:3">
      <c r="A829" s="20">
        <v>45026</v>
      </c>
      <c r="B829" s="23">
        <v>340.23669999999998</v>
      </c>
      <c r="C829" s="21">
        <v>13.283543228226099</v>
      </c>
    </row>
    <row r="830" spans="1:3">
      <c r="A830" s="20">
        <v>45025</v>
      </c>
      <c r="B830" s="23">
        <v>340.05610000000001</v>
      </c>
      <c r="C830" s="21">
        <v>13.2825156295753</v>
      </c>
    </row>
    <row r="831" spans="1:3">
      <c r="A831" s="20">
        <v>45024</v>
      </c>
      <c r="B831" s="23">
        <v>339.87549999999999</v>
      </c>
      <c r="C831" s="21">
        <v>13.281411443480501</v>
      </c>
    </row>
    <row r="832" spans="1:3">
      <c r="A832" s="20">
        <v>45023</v>
      </c>
      <c r="B832" s="23">
        <v>339.69499999999999</v>
      </c>
      <c r="C832" s="21">
        <v>13.2803016761863</v>
      </c>
    </row>
    <row r="833" spans="1:3">
      <c r="A833" s="20">
        <v>45022</v>
      </c>
      <c r="B833" s="23">
        <v>339.5147</v>
      </c>
      <c r="C833" s="21">
        <v>13.2792574807784</v>
      </c>
    </row>
    <row r="834" spans="1:3">
      <c r="A834" s="20">
        <v>45021</v>
      </c>
      <c r="B834" s="23">
        <v>339.33440000000002</v>
      </c>
      <c r="C834" s="21">
        <v>13.2781743799625</v>
      </c>
    </row>
    <row r="835" spans="1:3">
      <c r="A835" s="20">
        <v>45020</v>
      </c>
      <c r="B835" s="23">
        <v>339.15429999999998</v>
      </c>
      <c r="C835" s="21">
        <v>13.2771191136474</v>
      </c>
    </row>
    <row r="836" spans="1:3">
      <c r="A836" s="20">
        <v>45019</v>
      </c>
      <c r="B836" s="23">
        <v>338.9742</v>
      </c>
      <c r="C836" s="21">
        <v>13.276024891878301</v>
      </c>
    </row>
    <row r="837" spans="1:3">
      <c r="A837" s="20">
        <v>45018</v>
      </c>
      <c r="B837" s="23">
        <v>338.79419999999999</v>
      </c>
      <c r="C837" s="21">
        <v>13.2749250894881</v>
      </c>
    </row>
    <row r="838" spans="1:3">
      <c r="A838" s="20">
        <v>45017</v>
      </c>
      <c r="B838" s="23">
        <v>338.61430000000001</v>
      </c>
      <c r="C838" s="21">
        <v>13.273857591403001</v>
      </c>
    </row>
    <row r="839" spans="1:3">
      <c r="A839" s="20">
        <v>45016</v>
      </c>
      <c r="B839" s="23">
        <v>338.43450000000001</v>
      </c>
      <c r="C839" s="21">
        <v>13.272746624253999</v>
      </c>
    </row>
    <row r="840" spans="1:3">
      <c r="A840" s="20">
        <v>45015</v>
      </c>
      <c r="B840" s="23">
        <v>338.25479999999999</v>
      </c>
      <c r="C840" s="21">
        <v>13.2716679849415</v>
      </c>
    </row>
    <row r="841" spans="1:3">
      <c r="A841" s="20">
        <v>45014</v>
      </c>
      <c r="B841" s="23">
        <v>338.0752</v>
      </c>
      <c r="C841" s="21">
        <v>13.2706217240912</v>
      </c>
    </row>
    <row r="842" spans="1:3">
      <c r="A842" s="20">
        <v>45013</v>
      </c>
      <c r="B842" s="23">
        <v>337.89569999999998</v>
      </c>
      <c r="C842" s="21">
        <v>13.2695319518677</v>
      </c>
    </row>
    <row r="843" spans="1:3">
      <c r="A843" s="20">
        <v>45012</v>
      </c>
      <c r="B843" s="23">
        <v>337.71629999999999</v>
      </c>
      <c r="C843" s="21">
        <v>13.2684365920222</v>
      </c>
    </row>
    <row r="844" spans="1:3">
      <c r="A844" s="20">
        <v>45011</v>
      </c>
      <c r="B844" s="23">
        <v>337.53699999999998</v>
      </c>
      <c r="C844" s="21">
        <v>13.2673736460579</v>
      </c>
    </row>
    <row r="845" spans="1:3">
      <c r="A845" s="20">
        <v>45010</v>
      </c>
      <c r="B845" s="23">
        <v>337.3578</v>
      </c>
      <c r="C845" s="21">
        <v>13.266305136097699</v>
      </c>
    </row>
    <row r="846" spans="1:3">
      <c r="A846" s="20">
        <v>45009</v>
      </c>
      <c r="B846" s="23">
        <v>337.17869999999999</v>
      </c>
      <c r="C846" s="21">
        <v>13.265231054504801</v>
      </c>
    </row>
    <row r="847" spans="1:3">
      <c r="A847" s="20">
        <v>45008</v>
      </c>
      <c r="B847" s="23">
        <v>336.99970000000002</v>
      </c>
      <c r="C847" s="21">
        <v>13.264151393637601</v>
      </c>
    </row>
    <row r="848" spans="1:3">
      <c r="A848" s="20">
        <v>45007</v>
      </c>
      <c r="B848" s="23">
        <v>336.82069999999999</v>
      </c>
      <c r="C848" s="21">
        <v>13.2630706058361</v>
      </c>
    </row>
    <row r="849" spans="1:3">
      <c r="A849" s="20">
        <v>45006</v>
      </c>
      <c r="B849" s="23">
        <v>336.64190000000002</v>
      </c>
      <c r="C849" s="21">
        <v>13.2619797654362</v>
      </c>
    </row>
    <row r="850" spans="1:3">
      <c r="A850" s="20">
        <v>45005</v>
      </c>
      <c r="B850" s="23">
        <v>336.46319999999997</v>
      </c>
      <c r="C850" s="21">
        <v>13.260921448915401</v>
      </c>
    </row>
    <row r="851" spans="1:3">
      <c r="A851" s="20">
        <v>45004</v>
      </c>
      <c r="B851" s="23">
        <v>336.28449999999998</v>
      </c>
      <c r="C851" s="21">
        <v>13.259823881781299</v>
      </c>
    </row>
    <row r="852" spans="1:3">
      <c r="A852" s="20">
        <v>45003</v>
      </c>
      <c r="B852" s="23">
        <v>336.10599999999999</v>
      </c>
      <c r="C852" s="21">
        <v>13.2587543983442</v>
      </c>
    </row>
    <row r="853" spans="1:3">
      <c r="A853" s="20">
        <v>45002</v>
      </c>
      <c r="B853" s="23">
        <v>335.92750000000001</v>
      </c>
      <c r="C853" s="21">
        <v>13.2576837985655</v>
      </c>
    </row>
    <row r="854" spans="1:3">
      <c r="A854" s="20">
        <v>45001</v>
      </c>
      <c r="B854" s="23">
        <v>335.74919999999997</v>
      </c>
      <c r="C854" s="21">
        <v>13.2566031371226</v>
      </c>
    </row>
    <row r="855" spans="1:3">
      <c r="A855" s="20">
        <v>45000</v>
      </c>
      <c r="B855" s="23">
        <v>335.57089999999999</v>
      </c>
      <c r="C855" s="21">
        <v>13.255521347952101</v>
      </c>
    </row>
    <row r="856" spans="1:3">
      <c r="A856" s="20">
        <v>44999</v>
      </c>
      <c r="B856" s="23">
        <v>335.35950000000003</v>
      </c>
      <c r="C856" s="21">
        <v>13.2511774783272</v>
      </c>
    </row>
    <row r="857" spans="1:3">
      <c r="A857" s="20">
        <v>44998</v>
      </c>
      <c r="B857" s="23">
        <v>335.14830000000001</v>
      </c>
      <c r="C857" s="21">
        <v>13.246819510382</v>
      </c>
    </row>
    <row r="858" spans="1:3">
      <c r="A858" s="20">
        <v>44997</v>
      </c>
      <c r="B858" s="23">
        <v>334.93709999999999</v>
      </c>
      <c r="C858" s="21">
        <v>13.242418095141501</v>
      </c>
    </row>
    <row r="859" spans="1:3">
      <c r="A859" s="20">
        <v>44996</v>
      </c>
      <c r="B859" s="23">
        <v>334.72620000000001</v>
      </c>
      <c r="C859" s="21">
        <v>13.238074650087199</v>
      </c>
    </row>
    <row r="860" spans="1:3">
      <c r="A860" s="20">
        <v>44995</v>
      </c>
      <c r="B860" s="23">
        <v>334.51530000000002</v>
      </c>
      <c r="C860" s="21">
        <v>13.233649402681699</v>
      </c>
    </row>
    <row r="861" spans="1:3">
      <c r="A861" s="20">
        <v>44994</v>
      </c>
      <c r="B861" s="23">
        <v>334.30459999999999</v>
      </c>
      <c r="C861" s="21">
        <v>13.229286658535599</v>
      </c>
    </row>
    <row r="862" spans="1:3">
      <c r="A862" s="20">
        <v>44993</v>
      </c>
      <c r="B862" s="23">
        <v>334.09399999999999</v>
      </c>
      <c r="C862" s="21">
        <v>13.2249142664259</v>
      </c>
    </row>
    <row r="863" spans="1:3">
      <c r="A863" s="20">
        <v>44992</v>
      </c>
      <c r="B863" s="23">
        <v>333.88350000000003</v>
      </c>
      <c r="C863" s="21">
        <v>13.220532213664001</v>
      </c>
    </row>
    <row r="864" spans="1:3">
      <c r="A864" s="20">
        <v>44991</v>
      </c>
      <c r="B864" s="23">
        <v>333.67320000000001</v>
      </c>
      <c r="C864" s="21">
        <v>13.2161744178077</v>
      </c>
    </row>
    <row r="865" spans="1:3">
      <c r="A865" s="20">
        <v>44990</v>
      </c>
      <c r="B865" s="23">
        <v>333.46300000000002</v>
      </c>
      <c r="C865" s="21">
        <v>13.211806976047001</v>
      </c>
    </row>
    <row r="866" spans="1:3">
      <c r="A866" s="20">
        <v>44989</v>
      </c>
      <c r="B866" s="23">
        <v>333.25299999999999</v>
      </c>
      <c r="C866" s="21">
        <v>13.2074253890801</v>
      </c>
    </row>
    <row r="867" spans="1:3">
      <c r="A867" s="20">
        <v>44988</v>
      </c>
      <c r="B867" s="23">
        <v>333.04309999999998</v>
      </c>
      <c r="C867" s="21">
        <v>13.203072606804101</v>
      </c>
    </row>
    <row r="868" spans="1:3">
      <c r="A868" s="20">
        <v>44987</v>
      </c>
      <c r="B868" s="23">
        <v>332.83330000000001</v>
      </c>
      <c r="C868" s="21">
        <v>13.1987101807767</v>
      </c>
    </row>
    <row r="869" spans="1:3">
      <c r="A869" s="20">
        <v>44986</v>
      </c>
      <c r="B869" s="23">
        <v>332.62360000000001</v>
      </c>
      <c r="C869" s="21">
        <v>13.1942995774402</v>
      </c>
    </row>
    <row r="870" spans="1:3">
      <c r="A870" s="20">
        <v>44985</v>
      </c>
      <c r="B870" s="23">
        <v>332.41410000000002</v>
      </c>
      <c r="C870" s="21">
        <v>13.1899518554499</v>
      </c>
    </row>
    <row r="871" spans="1:3">
      <c r="A871" s="20">
        <v>44984</v>
      </c>
      <c r="B871" s="23">
        <v>332.2047</v>
      </c>
      <c r="C871" s="21">
        <v>13.185594491939501</v>
      </c>
    </row>
    <row r="872" spans="1:3">
      <c r="A872" s="20">
        <v>44983</v>
      </c>
      <c r="B872" s="23">
        <v>331.99540000000002</v>
      </c>
      <c r="C872" s="21">
        <v>13.1811888894078</v>
      </c>
    </row>
    <row r="873" spans="1:3">
      <c r="A873" s="20">
        <v>44982</v>
      </c>
      <c r="B873" s="23">
        <v>331.78629999999998</v>
      </c>
      <c r="C873" s="21">
        <v>13.176846294857301</v>
      </c>
    </row>
    <row r="874" spans="1:3">
      <c r="A874" s="20">
        <v>44981</v>
      </c>
      <c r="B874" s="23">
        <v>331.57729999999998</v>
      </c>
      <c r="C874" s="21">
        <v>13.1724554335884</v>
      </c>
    </row>
    <row r="875" spans="1:3">
      <c r="A875" s="20">
        <v>44980</v>
      </c>
      <c r="B875" s="23">
        <v>331.36840000000001</v>
      </c>
      <c r="C875" s="21">
        <v>13.168093526604901</v>
      </c>
    </row>
    <row r="876" spans="1:3">
      <c r="A876" s="20">
        <v>44979</v>
      </c>
      <c r="B876" s="23">
        <v>331.15969999999999</v>
      </c>
      <c r="C876" s="21">
        <v>13.1637174567733</v>
      </c>
    </row>
    <row r="877" spans="1:3">
      <c r="A877" s="20">
        <v>44978</v>
      </c>
      <c r="B877" s="23">
        <v>330.9511</v>
      </c>
      <c r="C877" s="21">
        <v>13.159370399015801</v>
      </c>
    </row>
    <row r="878" spans="1:3">
      <c r="A878" s="20">
        <v>44977</v>
      </c>
      <c r="B878" s="23">
        <v>330.74259999999998</v>
      </c>
      <c r="C878" s="21">
        <v>13.154974978762599</v>
      </c>
    </row>
    <row r="879" spans="1:3">
      <c r="A879" s="20">
        <v>44976</v>
      </c>
      <c r="B879" s="23">
        <v>330.53429999999997</v>
      </c>
      <c r="C879" s="21">
        <v>13.1506428206606</v>
      </c>
    </row>
    <row r="880" spans="1:3">
      <c r="A880" s="20">
        <v>44975</v>
      </c>
      <c r="B880" s="23">
        <v>330.32600000000002</v>
      </c>
      <c r="C880" s="21">
        <v>13.146228019487101</v>
      </c>
    </row>
    <row r="881" spans="1:3">
      <c r="A881" s="20">
        <v>44974</v>
      </c>
      <c r="B881" s="23">
        <v>330.11799999999999</v>
      </c>
      <c r="C881" s="21">
        <v>13.141872034300601</v>
      </c>
    </row>
    <row r="882" spans="1:3">
      <c r="A882" s="20">
        <v>44973</v>
      </c>
      <c r="B882" s="23">
        <v>329.91</v>
      </c>
      <c r="C882" s="21">
        <v>13.137510892456101</v>
      </c>
    </row>
    <row r="883" spans="1:3">
      <c r="A883" s="20">
        <v>44972</v>
      </c>
      <c r="B883" s="23">
        <v>329.7022</v>
      </c>
      <c r="C883" s="21">
        <v>13.1331355718469</v>
      </c>
    </row>
    <row r="884" spans="1:3">
      <c r="A884" s="20">
        <v>44971</v>
      </c>
      <c r="B884" s="23">
        <v>329.56900000000002</v>
      </c>
      <c r="C884" s="21">
        <v>13.1139782008587</v>
      </c>
    </row>
    <row r="885" spans="1:3">
      <c r="A885" s="20">
        <v>44970</v>
      </c>
      <c r="B885" s="23">
        <v>329.4359</v>
      </c>
      <c r="C885" s="21">
        <v>13.094807337522001</v>
      </c>
    </row>
    <row r="886" spans="1:3">
      <c r="A886" s="20">
        <v>44969</v>
      </c>
      <c r="B886" s="23">
        <v>329.30290000000002</v>
      </c>
      <c r="C886" s="21">
        <v>13.0756618198737</v>
      </c>
    </row>
    <row r="887" spans="1:3">
      <c r="A887" s="20">
        <v>44968</v>
      </c>
      <c r="B887" s="23">
        <v>329.16989999999998</v>
      </c>
      <c r="C887" s="21">
        <v>13.056546150144699</v>
      </c>
    </row>
    <row r="888" spans="1:3">
      <c r="A888" s="20">
        <v>44967</v>
      </c>
      <c r="B888" s="23">
        <v>329.03699999999998</v>
      </c>
      <c r="C888" s="21">
        <v>13.0374170178792</v>
      </c>
    </row>
    <row r="889" spans="1:3">
      <c r="A889" s="20">
        <v>44966</v>
      </c>
      <c r="B889" s="23">
        <v>328.90410000000003</v>
      </c>
      <c r="C889" s="21">
        <v>13.018278906667399</v>
      </c>
    </row>
    <row r="890" spans="1:3">
      <c r="A890" s="20">
        <v>44965</v>
      </c>
      <c r="B890" s="23">
        <v>328.7713</v>
      </c>
      <c r="C890" s="21">
        <v>12.9991273423674</v>
      </c>
    </row>
    <row r="891" spans="1:3">
      <c r="A891" s="20">
        <v>44964</v>
      </c>
      <c r="B891" s="23">
        <v>328.63850000000002</v>
      </c>
      <c r="C891" s="21">
        <v>12.980005638025</v>
      </c>
    </row>
    <row r="892" spans="1:3">
      <c r="A892" s="20">
        <v>44963</v>
      </c>
      <c r="B892" s="23">
        <v>328.50580000000002</v>
      </c>
      <c r="C892" s="21">
        <v>12.960870495141601</v>
      </c>
    </row>
    <row r="893" spans="1:3">
      <c r="A893" s="20">
        <v>44962</v>
      </c>
      <c r="B893" s="23">
        <v>328.37310000000002</v>
      </c>
      <c r="C893" s="21">
        <v>12.9417652207859</v>
      </c>
    </row>
    <row r="894" spans="1:3">
      <c r="A894" s="20">
        <v>44961</v>
      </c>
      <c r="B894" s="23">
        <v>328.2405</v>
      </c>
      <c r="C894" s="21">
        <v>12.922646522449501</v>
      </c>
    </row>
    <row r="895" spans="1:3">
      <c r="A895" s="20">
        <v>44960</v>
      </c>
      <c r="B895" s="23">
        <v>328.108</v>
      </c>
      <c r="C895" s="21">
        <v>12.903553261064401</v>
      </c>
    </row>
    <row r="896" spans="1:3">
      <c r="A896" s="20">
        <v>44959</v>
      </c>
      <c r="B896" s="23">
        <v>327.97550000000001</v>
      </c>
      <c r="C896" s="21">
        <v>12.884412182789999</v>
      </c>
    </row>
    <row r="897" spans="1:3">
      <c r="A897" s="20">
        <v>44958</v>
      </c>
      <c r="B897" s="23">
        <v>327.84300000000002</v>
      </c>
      <c r="C897" s="21">
        <v>12.8653009851525</v>
      </c>
    </row>
    <row r="898" spans="1:3">
      <c r="A898" s="20">
        <v>44957</v>
      </c>
      <c r="B898" s="23">
        <v>327.7106</v>
      </c>
      <c r="C898" s="21">
        <v>12.846176387641099</v>
      </c>
    </row>
    <row r="899" spans="1:3">
      <c r="A899" s="20">
        <v>44956</v>
      </c>
      <c r="B899" s="23">
        <v>327.57830000000001</v>
      </c>
      <c r="C899" s="21">
        <v>12.8271161221548</v>
      </c>
    </row>
    <row r="900" spans="1:3">
      <c r="A900" s="20">
        <v>44955</v>
      </c>
      <c r="B900" s="23">
        <v>327.44600000000003</v>
      </c>
      <c r="C900" s="21">
        <v>12.8080080366998</v>
      </c>
    </row>
    <row r="901" spans="1:3">
      <c r="A901" s="20">
        <v>44954</v>
      </c>
      <c r="B901" s="23">
        <v>327.31380000000001</v>
      </c>
      <c r="C901" s="21">
        <v>12.788925442186001</v>
      </c>
    </row>
    <row r="902" spans="1:3">
      <c r="A902" s="20">
        <v>44953</v>
      </c>
      <c r="B902" s="23">
        <v>327.1816</v>
      </c>
      <c r="C902" s="21">
        <v>12.769833889516599</v>
      </c>
    </row>
    <row r="903" spans="1:3">
      <c r="A903" s="20">
        <v>44952</v>
      </c>
      <c r="B903" s="23">
        <v>327.04950000000002</v>
      </c>
      <c r="C903" s="21">
        <v>12.7507289765507</v>
      </c>
    </row>
    <row r="904" spans="1:3">
      <c r="A904" s="20">
        <v>44951</v>
      </c>
      <c r="B904" s="23">
        <v>326.91739999999999</v>
      </c>
      <c r="C904" s="21">
        <v>12.731653977415499</v>
      </c>
    </row>
    <row r="905" spans="1:3">
      <c r="A905" s="20">
        <v>44950</v>
      </c>
      <c r="B905" s="23">
        <v>326.78539999999998</v>
      </c>
      <c r="C905" s="21">
        <v>12.7125656326517</v>
      </c>
    </row>
    <row r="906" spans="1:3">
      <c r="A906" s="20">
        <v>44949</v>
      </c>
      <c r="B906" s="23">
        <v>326.65339999999998</v>
      </c>
      <c r="C906" s="21">
        <v>12.6934683317918</v>
      </c>
    </row>
    <row r="907" spans="1:3">
      <c r="A907" s="20">
        <v>44948</v>
      </c>
      <c r="B907" s="23">
        <v>326.5215</v>
      </c>
      <c r="C907" s="21">
        <v>12.6743965760281</v>
      </c>
    </row>
    <row r="908" spans="1:3">
      <c r="A908" s="20">
        <v>44947</v>
      </c>
      <c r="B908" s="23">
        <v>326.38959999999997</v>
      </c>
      <c r="C908" s="21">
        <v>12.655315867751399</v>
      </c>
    </row>
    <row r="909" spans="1:3">
      <c r="A909" s="20">
        <v>44946</v>
      </c>
      <c r="B909" s="23">
        <v>326.25779999999997</v>
      </c>
      <c r="C909" s="21">
        <v>12.6362607243555</v>
      </c>
    </row>
    <row r="910" spans="1:3">
      <c r="A910" s="20">
        <v>44945</v>
      </c>
      <c r="B910" s="23">
        <v>326.12610000000001</v>
      </c>
      <c r="C910" s="21">
        <v>12.617192275099599</v>
      </c>
    </row>
    <row r="911" spans="1:3">
      <c r="A911" s="20">
        <v>44944</v>
      </c>
      <c r="B911" s="23">
        <v>325.99439999999998</v>
      </c>
      <c r="C911" s="21">
        <v>12.5981537730355</v>
      </c>
    </row>
    <row r="912" spans="1:3">
      <c r="A912" s="20">
        <v>44943</v>
      </c>
      <c r="B912" s="23">
        <v>325.86270000000002</v>
      </c>
      <c r="C912" s="21">
        <v>12.579067431835901</v>
      </c>
    </row>
    <row r="913" spans="1:3">
      <c r="A913" s="20">
        <v>44942</v>
      </c>
      <c r="B913" s="23">
        <v>325.73110000000003</v>
      </c>
      <c r="C913" s="21">
        <v>12.5600066900634</v>
      </c>
    </row>
    <row r="914" spans="1:3">
      <c r="A914" s="20">
        <v>44941</v>
      </c>
      <c r="B914" s="23">
        <v>325.59960000000001</v>
      </c>
      <c r="C914" s="21">
        <v>12.540971565742</v>
      </c>
    </row>
    <row r="915" spans="1:3">
      <c r="A915" s="20">
        <v>44940</v>
      </c>
      <c r="B915" s="23">
        <v>325.51900000000001</v>
      </c>
      <c r="C915" s="21">
        <v>12.531238127437399</v>
      </c>
    </row>
    <row r="916" spans="1:3">
      <c r="A916" s="20">
        <v>44939</v>
      </c>
      <c r="B916" s="23">
        <v>325.43849999999998</v>
      </c>
      <c r="C916" s="21">
        <v>12.5214972232537</v>
      </c>
    </row>
    <row r="917" spans="1:3">
      <c r="A917" s="20">
        <v>44938</v>
      </c>
      <c r="B917" s="23">
        <v>325.358</v>
      </c>
      <c r="C917" s="21">
        <v>12.511753186371401</v>
      </c>
    </row>
    <row r="918" spans="1:3">
      <c r="A918" s="20">
        <v>44937</v>
      </c>
      <c r="B918" s="23">
        <v>325.27749999999997</v>
      </c>
      <c r="C918" s="21">
        <v>12.5020060152789</v>
      </c>
    </row>
    <row r="919" spans="1:3">
      <c r="A919" s="20">
        <v>44936</v>
      </c>
      <c r="B919" s="23">
        <v>325.197</v>
      </c>
      <c r="C919" s="21">
        <v>12.492294621836299</v>
      </c>
    </row>
    <row r="920" spans="1:3">
      <c r="A920" s="20">
        <v>44935</v>
      </c>
      <c r="B920" s="23">
        <v>325.11649999999997</v>
      </c>
      <c r="C920" s="21">
        <v>12.482541180671101</v>
      </c>
    </row>
    <row r="921" spans="1:3">
      <c r="A921" s="20">
        <v>44934</v>
      </c>
      <c r="B921" s="23">
        <v>325.03609999999998</v>
      </c>
      <c r="C921" s="21">
        <v>12.472819203933099</v>
      </c>
    </row>
    <row r="922" spans="1:3">
      <c r="A922" s="20">
        <v>44933</v>
      </c>
      <c r="B922" s="23">
        <v>324.95569999999998</v>
      </c>
      <c r="C922" s="21">
        <v>12.4630940980666</v>
      </c>
    </row>
    <row r="923" spans="1:3">
      <c r="A923" s="20">
        <v>44932</v>
      </c>
      <c r="B923" s="23">
        <v>324.87529999999998</v>
      </c>
      <c r="C923" s="21">
        <v>12.4533269366098</v>
      </c>
    </row>
    <row r="924" spans="1:3">
      <c r="A924" s="20">
        <v>44931</v>
      </c>
      <c r="B924" s="23">
        <v>324.79489999999998</v>
      </c>
      <c r="C924" s="21">
        <v>12.443595565055199</v>
      </c>
    </row>
    <row r="925" spans="1:3">
      <c r="A925" s="20">
        <v>44930</v>
      </c>
      <c r="B925" s="23">
        <v>324.71449999999999</v>
      </c>
      <c r="C925" s="21">
        <v>12.4338610598366</v>
      </c>
    </row>
    <row r="926" spans="1:3">
      <c r="A926" s="20">
        <v>44929</v>
      </c>
      <c r="B926" s="23">
        <v>324.63420000000002</v>
      </c>
      <c r="C926" s="21">
        <v>12.424119116839799</v>
      </c>
    </row>
    <row r="927" spans="1:3">
      <c r="A927" s="20">
        <v>44928</v>
      </c>
      <c r="B927" s="23">
        <v>324.5539</v>
      </c>
      <c r="C927" s="21">
        <v>12.4144129790241</v>
      </c>
    </row>
    <row r="928" spans="1:3">
      <c r="A928" s="20">
        <v>44927</v>
      </c>
      <c r="B928" s="23">
        <v>324.47359999999998</v>
      </c>
      <c r="C928" s="21">
        <v>12.4046647747428</v>
      </c>
    </row>
    <row r="929" spans="1:3">
      <c r="A929" s="20">
        <v>44926</v>
      </c>
      <c r="B929" s="23">
        <v>324.39330000000001</v>
      </c>
      <c r="C929" s="21">
        <v>12.394952378411499</v>
      </c>
    </row>
    <row r="930" spans="1:3">
      <c r="A930" s="20">
        <v>44925</v>
      </c>
      <c r="B930" s="23">
        <v>324.31310000000002</v>
      </c>
      <c r="C930" s="21">
        <v>12.385232560114</v>
      </c>
    </row>
    <row r="931" spans="1:3">
      <c r="A931" s="20">
        <v>44924</v>
      </c>
      <c r="B931" s="23">
        <v>324.2328</v>
      </c>
      <c r="C931" s="21">
        <v>12.3754749567024</v>
      </c>
    </row>
    <row r="932" spans="1:3">
      <c r="A932" s="20">
        <v>44923</v>
      </c>
      <c r="B932" s="23">
        <v>324.15260000000001</v>
      </c>
      <c r="C932" s="21">
        <v>12.3657878298584</v>
      </c>
    </row>
    <row r="933" spans="1:3">
      <c r="A933" s="20">
        <v>44922</v>
      </c>
      <c r="B933" s="23">
        <v>324.07240000000002</v>
      </c>
      <c r="C933" s="21">
        <v>12.356058625665399</v>
      </c>
    </row>
    <row r="934" spans="1:3">
      <c r="A934" s="20">
        <v>44921</v>
      </c>
      <c r="B934" s="23">
        <v>323.99220000000003</v>
      </c>
      <c r="C934" s="21">
        <v>12.346326290713501</v>
      </c>
    </row>
    <row r="935" spans="1:3">
      <c r="A935" s="20">
        <v>44920</v>
      </c>
      <c r="B935" s="23">
        <v>323.91210000000001</v>
      </c>
      <c r="C935" s="21">
        <v>12.336625504698301</v>
      </c>
    </row>
    <row r="936" spans="1:3">
      <c r="A936" s="20">
        <v>44919</v>
      </c>
      <c r="B936" s="23">
        <v>323.83190000000002</v>
      </c>
      <c r="C936" s="21">
        <v>12.3268869092753</v>
      </c>
    </row>
    <row r="937" spans="1:3">
      <c r="A937" s="20">
        <v>44918</v>
      </c>
      <c r="B937" s="23">
        <v>323.7518</v>
      </c>
      <c r="C937" s="21">
        <v>12.317140905449801</v>
      </c>
    </row>
    <row r="938" spans="1:3">
      <c r="A938" s="20">
        <v>44917</v>
      </c>
      <c r="B938" s="23">
        <v>323.67169999999999</v>
      </c>
      <c r="C938" s="21">
        <v>12.307430738563101</v>
      </c>
    </row>
    <row r="939" spans="1:3">
      <c r="A939" s="20">
        <v>44916</v>
      </c>
      <c r="B939" s="23">
        <v>323.5917</v>
      </c>
      <c r="C939" s="21">
        <v>12.2977521480619</v>
      </c>
    </row>
    <row r="940" spans="1:3">
      <c r="A940" s="20">
        <v>44915</v>
      </c>
      <c r="B940" s="23">
        <v>323.51159999999999</v>
      </c>
      <c r="C940" s="21">
        <v>12.2879967567808</v>
      </c>
    </row>
    <row r="941" spans="1:3">
      <c r="A941" s="20">
        <v>44914</v>
      </c>
      <c r="B941" s="23">
        <v>323.4316</v>
      </c>
      <c r="C941" s="21">
        <v>12.2783119213059</v>
      </c>
    </row>
    <row r="942" spans="1:3">
      <c r="A942" s="20">
        <v>44913</v>
      </c>
      <c r="B942" s="23">
        <v>323.35149999999999</v>
      </c>
      <c r="C942" s="21">
        <v>12.268550265071999</v>
      </c>
    </row>
    <row r="943" spans="1:3">
      <c r="A943" s="20">
        <v>44912</v>
      </c>
      <c r="B943" s="23">
        <v>323.2715</v>
      </c>
      <c r="C943" s="21">
        <v>12.258859178587199</v>
      </c>
    </row>
    <row r="944" spans="1:3">
      <c r="A944" s="20">
        <v>44911</v>
      </c>
      <c r="B944" s="23">
        <v>323.19159999999999</v>
      </c>
      <c r="C944" s="21">
        <v>12.2491607142733</v>
      </c>
    </row>
    <row r="945" spans="1:3">
      <c r="A945" s="20">
        <v>44910</v>
      </c>
      <c r="B945" s="23">
        <v>323.11160000000001</v>
      </c>
      <c r="C945" s="21">
        <v>12.2394243932567</v>
      </c>
    </row>
    <row r="946" spans="1:3">
      <c r="A946" s="20">
        <v>44909</v>
      </c>
      <c r="B946" s="23">
        <v>323.03429999999997</v>
      </c>
      <c r="C946" s="21">
        <v>12.2129624515547</v>
      </c>
    </row>
    <row r="947" spans="1:3">
      <c r="A947" s="20">
        <v>44908</v>
      </c>
      <c r="B947" s="23">
        <v>322.95710000000003</v>
      </c>
      <c r="C947" s="21">
        <v>12.1864960927513</v>
      </c>
    </row>
    <row r="948" spans="1:3">
      <c r="A948" s="20">
        <v>44907</v>
      </c>
      <c r="B948" s="23">
        <v>322.87979999999999</v>
      </c>
      <c r="C948" s="21">
        <v>12.160033792538499</v>
      </c>
    </row>
    <row r="949" spans="1:3">
      <c r="A949" s="20">
        <v>44906</v>
      </c>
      <c r="B949" s="23">
        <v>322.80259999999998</v>
      </c>
      <c r="C949" s="21">
        <v>12.1336060459953</v>
      </c>
    </row>
    <row r="950" spans="1:3">
      <c r="A950" s="20">
        <v>44905</v>
      </c>
      <c r="B950" s="23">
        <v>322.72550000000001</v>
      </c>
      <c r="C950" s="21">
        <v>12.1071739100983</v>
      </c>
    </row>
    <row r="951" spans="1:3">
      <c r="A951" s="20">
        <v>44904</v>
      </c>
      <c r="B951" s="23">
        <v>322.64830000000001</v>
      </c>
      <c r="C951" s="21">
        <v>12.080745805504</v>
      </c>
    </row>
    <row r="952" spans="1:3">
      <c r="A952" s="20">
        <v>44903</v>
      </c>
      <c r="B952" s="23">
        <v>322.5711</v>
      </c>
      <c r="C952" s="21">
        <v>12.0542785920331</v>
      </c>
    </row>
    <row r="953" spans="1:3">
      <c r="A953" s="20">
        <v>44902</v>
      </c>
      <c r="B953" s="23">
        <v>322.49400000000003</v>
      </c>
      <c r="C953" s="21">
        <v>12.027884867234899</v>
      </c>
    </row>
    <row r="954" spans="1:3">
      <c r="A954" s="20">
        <v>44901</v>
      </c>
      <c r="B954" s="23">
        <v>322.4169</v>
      </c>
      <c r="C954" s="21">
        <v>12.001490959063201</v>
      </c>
    </row>
    <row r="955" spans="1:3">
      <c r="A955" s="20">
        <v>44900</v>
      </c>
      <c r="B955" s="23">
        <v>322.33980000000003</v>
      </c>
      <c r="C955" s="21">
        <v>11.9750579693783</v>
      </c>
    </row>
    <row r="956" spans="1:3">
      <c r="A956" s="20">
        <v>44899</v>
      </c>
      <c r="B956" s="23">
        <v>322.2627</v>
      </c>
      <c r="C956" s="21">
        <v>11.9486637034876</v>
      </c>
    </row>
    <row r="957" spans="1:3">
      <c r="A957" s="20">
        <v>44898</v>
      </c>
      <c r="B957" s="23">
        <v>322.1857</v>
      </c>
      <c r="C957" s="21">
        <v>11.9222651126081</v>
      </c>
    </row>
    <row r="958" spans="1:3">
      <c r="A958" s="20">
        <v>44897</v>
      </c>
      <c r="B958" s="23">
        <v>322.10860000000002</v>
      </c>
      <c r="C958" s="21">
        <v>11.8958704891119</v>
      </c>
    </row>
    <row r="959" spans="1:3">
      <c r="A959" s="20">
        <v>44896</v>
      </c>
      <c r="B959" s="23">
        <v>322.03160000000003</v>
      </c>
      <c r="C959" s="21">
        <v>11.8694715589357</v>
      </c>
    </row>
    <row r="960" spans="1:3">
      <c r="A960" s="20">
        <v>44895</v>
      </c>
      <c r="B960" s="23">
        <v>321.95460000000003</v>
      </c>
      <c r="C960" s="21">
        <v>11.843111316610299</v>
      </c>
    </row>
    <row r="961" spans="1:3">
      <c r="A961" s="20">
        <v>44894</v>
      </c>
      <c r="B961" s="23">
        <v>321.87759999999997</v>
      </c>
      <c r="C961" s="21">
        <v>11.8167508911397</v>
      </c>
    </row>
    <row r="962" spans="1:3">
      <c r="A962" s="20">
        <v>44893</v>
      </c>
      <c r="B962" s="23">
        <v>321.80070000000001</v>
      </c>
      <c r="C962" s="21">
        <v>11.7903861866569</v>
      </c>
    </row>
    <row r="963" spans="1:3">
      <c r="A963" s="20">
        <v>44892</v>
      </c>
      <c r="B963" s="23">
        <v>321.72370000000001</v>
      </c>
      <c r="C963" s="21">
        <v>11.7640254040335</v>
      </c>
    </row>
    <row r="964" spans="1:3">
      <c r="A964" s="20">
        <v>44891</v>
      </c>
      <c r="B964" s="23">
        <v>321.64679999999998</v>
      </c>
      <c r="C964" s="21">
        <v>11.7376603606836</v>
      </c>
    </row>
    <row r="965" spans="1:3">
      <c r="A965" s="20">
        <v>44890</v>
      </c>
      <c r="B965" s="23">
        <v>321.56990000000002</v>
      </c>
      <c r="C965" s="21">
        <v>11.711333960263</v>
      </c>
    </row>
    <row r="966" spans="1:3">
      <c r="A966" s="20">
        <v>44889</v>
      </c>
      <c r="B966" s="23">
        <v>321.49299999999999</v>
      </c>
      <c r="C966" s="21">
        <v>11.685007376929301</v>
      </c>
    </row>
    <row r="967" spans="1:3">
      <c r="A967" s="20">
        <v>44888</v>
      </c>
      <c r="B967" s="23">
        <v>321.41609999999997</v>
      </c>
      <c r="C967" s="21">
        <v>11.6586418209105</v>
      </c>
    </row>
    <row r="968" spans="1:3">
      <c r="A968" s="20">
        <v>44887</v>
      </c>
      <c r="B968" s="23">
        <v>321.33929999999998</v>
      </c>
      <c r="C968" s="21">
        <v>11.632349620468601</v>
      </c>
    </row>
    <row r="969" spans="1:3">
      <c r="A969" s="20">
        <v>44886</v>
      </c>
      <c r="B969" s="23">
        <v>321.26240000000001</v>
      </c>
      <c r="C969" s="21">
        <v>11.6059837257833</v>
      </c>
    </row>
    <row r="970" spans="1:3">
      <c r="A970" s="20">
        <v>44885</v>
      </c>
      <c r="B970" s="23">
        <v>321.18560000000002</v>
      </c>
      <c r="C970" s="21">
        <v>11.579691168863601</v>
      </c>
    </row>
    <row r="971" spans="1:3">
      <c r="A971" s="20">
        <v>44884</v>
      </c>
      <c r="B971" s="23">
        <v>321.10879999999997</v>
      </c>
      <c r="C971" s="21">
        <v>11.553398429262799</v>
      </c>
    </row>
    <row r="972" spans="1:3">
      <c r="A972" s="20">
        <v>44883</v>
      </c>
      <c r="B972" s="23">
        <v>321.03199999999998</v>
      </c>
      <c r="C972" s="21">
        <v>11.5270667622716</v>
      </c>
    </row>
    <row r="973" spans="1:3">
      <c r="A973" s="20">
        <v>44882</v>
      </c>
      <c r="B973" s="23">
        <v>320.95530000000002</v>
      </c>
      <c r="C973" s="21">
        <v>11.5008084065948</v>
      </c>
    </row>
    <row r="974" spans="1:3">
      <c r="A974" s="20">
        <v>44881</v>
      </c>
      <c r="B974" s="23">
        <v>320.87849999999997</v>
      </c>
      <c r="C974" s="21">
        <v>11.474476401366999</v>
      </c>
    </row>
    <row r="975" spans="1:3">
      <c r="A975" s="20">
        <v>44880</v>
      </c>
      <c r="B975" s="23">
        <v>320.80180000000001</v>
      </c>
      <c r="C975" s="21">
        <v>11.448217689665</v>
      </c>
    </row>
    <row r="976" spans="1:3">
      <c r="A976" s="20">
        <v>44879</v>
      </c>
      <c r="B976" s="23">
        <v>320.70600000000002</v>
      </c>
      <c r="C976" s="21">
        <v>11.428562494202</v>
      </c>
    </row>
    <row r="977" spans="1:3">
      <c r="A977" s="20">
        <v>44878</v>
      </c>
      <c r="B977" s="23">
        <v>320.61020000000002</v>
      </c>
      <c r="C977" s="21">
        <v>11.408902490427501</v>
      </c>
    </row>
    <row r="978" spans="1:3">
      <c r="A978" s="20">
        <v>44877</v>
      </c>
      <c r="B978" s="23">
        <v>320.5145</v>
      </c>
      <c r="C978" s="21">
        <v>11.389311141277</v>
      </c>
    </row>
    <row r="979" spans="1:3">
      <c r="A979" s="20">
        <v>44876</v>
      </c>
      <c r="B979" s="23">
        <v>320.41879999999998</v>
      </c>
      <c r="C979" s="21">
        <v>11.369676275271299</v>
      </c>
    </row>
    <row r="980" spans="1:3">
      <c r="A980" s="20">
        <v>44875</v>
      </c>
      <c r="B980" s="23">
        <v>320.32310000000001</v>
      </c>
      <c r="C980" s="21">
        <v>11.3500366041626</v>
      </c>
    </row>
    <row r="981" spans="1:3">
      <c r="A981" s="20">
        <v>44874</v>
      </c>
      <c r="B981" s="23">
        <v>320.22750000000002</v>
      </c>
      <c r="C981" s="21">
        <v>11.330388187059301</v>
      </c>
    </row>
    <row r="982" spans="1:3">
      <c r="A982" s="20">
        <v>44873</v>
      </c>
      <c r="B982" s="23">
        <v>320.13189999999997</v>
      </c>
      <c r="C982" s="21">
        <v>11.310773677086299</v>
      </c>
    </row>
    <row r="983" spans="1:3">
      <c r="A983" s="20">
        <v>44872</v>
      </c>
      <c r="B983" s="23">
        <v>320.03629999999998</v>
      </c>
      <c r="C983" s="21">
        <v>11.2911543652307</v>
      </c>
    </row>
    <row r="984" spans="1:3">
      <c r="A984" s="20">
        <v>44871</v>
      </c>
      <c r="B984" s="23">
        <v>319.94080000000002</v>
      </c>
      <c r="C984" s="21">
        <v>11.2715650285273</v>
      </c>
    </row>
    <row r="985" spans="1:3">
      <c r="A985" s="20">
        <v>44870</v>
      </c>
      <c r="B985" s="23">
        <v>319.84519999999998</v>
      </c>
      <c r="C985" s="21">
        <v>11.2519361118734</v>
      </c>
    </row>
    <row r="986" spans="1:3">
      <c r="A986" s="20">
        <v>44869</v>
      </c>
      <c r="B986" s="23">
        <v>319.74970000000002</v>
      </c>
      <c r="C986" s="21">
        <v>11.232337175360399</v>
      </c>
    </row>
    <row r="987" spans="1:3">
      <c r="A987" s="20">
        <v>44868</v>
      </c>
      <c r="B987" s="23">
        <v>319.65429999999998</v>
      </c>
      <c r="C987" s="21">
        <v>11.212729537341801</v>
      </c>
    </row>
    <row r="988" spans="1:3">
      <c r="A988" s="20">
        <v>44867</v>
      </c>
      <c r="B988" s="23">
        <v>319.55880000000002</v>
      </c>
      <c r="C988" s="21">
        <v>11.193121004569401</v>
      </c>
    </row>
    <row r="989" spans="1:3">
      <c r="A989" s="20">
        <v>44866</v>
      </c>
      <c r="B989" s="23">
        <v>319.46339999999998</v>
      </c>
      <c r="C989" s="21">
        <v>11.1735037794622</v>
      </c>
    </row>
    <row r="990" spans="1:3">
      <c r="A990" s="20">
        <v>44865</v>
      </c>
      <c r="B990" s="23">
        <v>319.36799999999999</v>
      </c>
      <c r="C990" s="21">
        <v>11.153920447722999</v>
      </c>
    </row>
    <row r="991" spans="1:3">
      <c r="A991" s="20">
        <v>44864</v>
      </c>
      <c r="B991" s="23">
        <v>319.27269999999999</v>
      </c>
      <c r="C991" s="21">
        <v>11.134367125641299</v>
      </c>
    </row>
    <row r="992" spans="1:3">
      <c r="A992" s="20">
        <v>44863</v>
      </c>
      <c r="B992" s="23">
        <v>319.17739999999998</v>
      </c>
      <c r="C992" s="21">
        <v>11.114770329141599</v>
      </c>
    </row>
    <row r="993" spans="1:3">
      <c r="A993" s="20">
        <v>44862</v>
      </c>
      <c r="B993" s="23">
        <v>319.08210000000003</v>
      </c>
      <c r="C993" s="21">
        <v>11.095168742868999</v>
      </c>
    </row>
    <row r="994" spans="1:3">
      <c r="A994" s="20">
        <v>44861</v>
      </c>
      <c r="B994" s="23">
        <v>318.98680000000002</v>
      </c>
      <c r="C994" s="21">
        <v>11.0756010431092</v>
      </c>
    </row>
    <row r="995" spans="1:3">
      <c r="A995" s="20">
        <v>44860</v>
      </c>
      <c r="B995" s="23">
        <v>318.89159999999998</v>
      </c>
      <c r="C995" s="21">
        <v>11.056024695554299</v>
      </c>
    </row>
    <row r="996" spans="1:3">
      <c r="A996" s="20">
        <v>44859</v>
      </c>
      <c r="B996" s="23">
        <v>318.79629999999997</v>
      </c>
      <c r="C996" s="21">
        <v>11.036408731575399</v>
      </c>
    </row>
    <row r="997" spans="1:3">
      <c r="A997" s="20">
        <v>44858</v>
      </c>
      <c r="B997" s="23">
        <v>318.70119999999997</v>
      </c>
      <c r="C997" s="21">
        <v>11.016896310887899</v>
      </c>
    </row>
    <row r="998" spans="1:3">
      <c r="A998" s="20">
        <v>44857</v>
      </c>
      <c r="B998" s="23">
        <v>318.60599999999999</v>
      </c>
      <c r="C998" s="21">
        <v>10.9973055963746</v>
      </c>
    </row>
    <row r="999" spans="1:3">
      <c r="A999" s="20">
        <v>44856</v>
      </c>
      <c r="B999" s="23">
        <v>318.51089999999999</v>
      </c>
      <c r="C999" s="21">
        <v>10.9777449327414</v>
      </c>
    </row>
    <row r="1000" spans="1:3">
      <c r="A1000" s="20">
        <v>44855</v>
      </c>
      <c r="B1000" s="23">
        <v>318.41579999999999</v>
      </c>
      <c r="C1000" s="21">
        <v>10.958179484070101</v>
      </c>
    </row>
    <row r="1001" spans="1:3">
      <c r="A1001" s="20">
        <v>44854</v>
      </c>
      <c r="B1001" s="23">
        <v>318.32069999999999</v>
      </c>
      <c r="C1001" s="21">
        <v>10.9386092486045</v>
      </c>
    </row>
    <row r="1002" spans="1:3">
      <c r="A1002" s="20">
        <v>44853</v>
      </c>
      <c r="B1002" s="23">
        <v>318.22570000000002</v>
      </c>
      <c r="C1002" s="21">
        <v>10.919069080059501</v>
      </c>
    </row>
    <row r="1003" spans="1:3">
      <c r="A1003" s="20">
        <v>44852</v>
      </c>
      <c r="B1003" s="23">
        <v>318.13069999999999</v>
      </c>
      <c r="C1003" s="21">
        <v>10.899524129735401</v>
      </c>
    </row>
    <row r="1004" spans="1:3">
      <c r="A1004" s="20">
        <v>44851</v>
      </c>
      <c r="B1004" s="23">
        <v>318.03570000000002</v>
      </c>
      <c r="C1004" s="21">
        <v>10.8799743958766</v>
      </c>
    </row>
    <row r="1005" spans="1:3">
      <c r="A1005" s="20">
        <v>44850</v>
      </c>
      <c r="B1005" s="23">
        <v>317.94069999999999</v>
      </c>
      <c r="C1005" s="21">
        <v>10.8604198767267</v>
      </c>
    </row>
    <row r="1006" spans="1:3">
      <c r="A1006" s="20">
        <v>44849</v>
      </c>
      <c r="B1006" s="23">
        <v>317.8458</v>
      </c>
      <c r="C1006" s="21">
        <v>10.840895443066</v>
      </c>
    </row>
    <row r="1007" spans="1:3">
      <c r="A1007" s="20">
        <v>44848</v>
      </c>
      <c r="B1007" s="23">
        <v>317.73829999999998</v>
      </c>
      <c r="C1007" s="21">
        <v>10.8199864883576</v>
      </c>
    </row>
    <row r="1008" spans="1:3">
      <c r="A1008" s="20">
        <v>44847</v>
      </c>
      <c r="B1008" s="23">
        <v>317.63080000000002</v>
      </c>
      <c r="C1008" s="21">
        <v>10.7990712756843</v>
      </c>
    </row>
    <row r="1009" spans="1:3">
      <c r="A1009" s="20">
        <v>44846</v>
      </c>
      <c r="B1009" s="23">
        <v>317.52339999999998</v>
      </c>
      <c r="C1009" s="21">
        <v>10.7781846904318</v>
      </c>
    </row>
    <row r="1010" spans="1:3">
      <c r="A1010" s="20">
        <v>44845</v>
      </c>
      <c r="B1010" s="23">
        <v>317.416</v>
      </c>
      <c r="C1010" s="21">
        <v>10.7572918520379</v>
      </c>
    </row>
    <row r="1011" spans="1:3">
      <c r="A1011" s="20">
        <v>44844</v>
      </c>
      <c r="B1011" s="23">
        <v>317.30860000000001</v>
      </c>
      <c r="C1011" s="21">
        <v>10.736392757694199</v>
      </c>
    </row>
    <row r="1012" spans="1:3">
      <c r="A1012" s="20">
        <v>44843</v>
      </c>
      <c r="B1012" s="23">
        <v>317.2013</v>
      </c>
      <c r="C1012" s="21">
        <v>10.715522308458</v>
      </c>
    </row>
    <row r="1013" spans="1:3">
      <c r="A1013" s="20">
        <v>44842</v>
      </c>
      <c r="B1013" s="23">
        <v>317.09399999999999</v>
      </c>
      <c r="C1013" s="21">
        <v>10.6946069656187</v>
      </c>
    </row>
    <row r="1014" spans="1:3">
      <c r="A1014" s="20">
        <v>44841</v>
      </c>
      <c r="B1014" s="23">
        <v>316.98680000000002</v>
      </c>
      <c r="C1014" s="21">
        <v>10.673758927152999</v>
      </c>
    </row>
    <row r="1015" spans="1:3">
      <c r="A1015" s="20">
        <v>44840</v>
      </c>
      <c r="B1015" s="23">
        <v>316.87959999999998</v>
      </c>
      <c r="C1015" s="21">
        <v>10.6529046424134</v>
      </c>
    </row>
    <row r="1016" spans="1:3">
      <c r="A1016" s="20">
        <v>44839</v>
      </c>
      <c r="B1016" s="23">
        <v>316.7724</v>
      </c>
      <c r="C1016" s="21">
        <v>10.632005470614599</v>
      </c>
    </row>
    <row r="1017" spans="1:3">
      <c r="A1017" s="20">
        <v>44838</v>
      </c>
      <c r="B1017" s="23">
        <v>316.6653</v>
      </c>
      <c r="C1017" s="21">
        <v>10.6111736163967</v>
      </c>
    </row>
    <row r="1018" spans="1:3">
      <c r="A1018" s="20">
        <v>44837</v>
      </c>
      <c r="B1018" s="23">
        <v>316.5582</v>
      </c>
      <c r="C1018" s="21">
        <v>10.590296882975</v>
      </c>
    </row>
    <row r="1019" spans="1:3">
      <c r="A1019" s="20">
        <v>44836</v>
      </c>
      <c r="B1019" s="23">
        <v>316.4511</v>
      </c>
      <c r="C1019" s="21">
        <v>10.5694139055273</v>
      </c>
    </row>
    <row r="1020" spans="1:3">
      <c r="A1020" s="20">
        <v>44835</v>
      </c>
      <c r="B1020" s="23">
        <v>316.34410000000003</v>
      </c>
      <c r="C1020" s="21">
        <v>10.5485982588664</v>
      </c>
    </row>
    <row r="1021" spans="1:3">
      <c r="A1021" s="20">
        <v>44834</v>
      </c>
      <c r="B1021" s="23">
        <v>316.2371</v>
      </c>
      <c r="C1021" s="21">
        <v>10.527737739571</v>
      </c>
    </row>
    <row r="1022" spans="1:3">
      <c r="A1022" s="20">
        <v>44833</v>
      </c>
      <c r="B1022" s="23">
        <v>316.13010000000003</v>
      </c>
      <c r="C1022" s="21">
        <v>10.5068709782964</v>
      </c>
    </row>
    <row r="1023" spans="1:3">
      <c r="A1023" s="20">
        <v>44832</v>
      </c>
      <c r="B1023" s="23">
        <v>316.02319999999997</v>
      </c>
      <c r="C1023" s="21">
        <v>10.486032933608399</v>
      </c>
    </row>
    <row r="1024" spans="1:3">
      <c r="A1024" s="20">
        <v>44831</v>
      </c>
      <c r="B1024" s="23">
        <v>315.91629999999998</v>
      </c>
      <c r="C1024" s="21">
        <v>10.465188651799799</v>
      </c>
    </row>
    <row r="1025" spans="1:3">
      <c r="A1025" s="20">
        <v>44830</v>
      </c>
      <c r="B1025" s="23">
        <v>315.80950000000001</v>
      </c>
      <c r="C1025" s="21">
        <v>10.4443731019037</v>
      </c>
    </row>
    <row r="1026" spans="1:3">
      <c r="A1026" s="20">
        <v>44829</v>
      </c>
      <c r="B1026" s="23">
        <v>315.70260000000002</v>
      </c>
      <c r="C1026" s="21">
        <v>10.4235163426857</v>
      </c>
    </row>
    <row r="1027" spans="1:3">
      <c r="A1027" s="20">
        <v>44828</v>
      </c>
      <c r="B1027" s="23">
        <v>315.59589999999997</v>
      </c>
      <c r="C1027" s="21">
        <v>10.4027233025536</v>
      </c>
    </row>
    <row r="1028" spans="1:3">
      <c r="A1028" s="20">
        <v>44827</v>
      </c>
      <c r="B1028" s="23">
        <v>315.48910000000001</v>
      </c>
      <c r="C1028" s="21">
        <v>10.381889047499101</v>
      </c>
    </row>
    <row r="1029" spans="1:3">
      <c r="A1029" s="20">
        <v>44826</v>
      </c>
      <c r="B1029" s="23">
        <v>315.38240000000002</v>
      </c>
      <c r="C1029" s="21">
        <v>10.3610835445731</v>
      </c>
    </row>
    <row r="1030" spans="1:3">
      <c r="A1030" s="20">
        <v>44825</v>
      </c>
      <c r="B1030" s="23">
        <v>315.2758</v>
      </c>
      <c r="C1030" s="21">
        <v>10.3402681897802</v>
      </c>
    </row>
    <row r="1031" spans="1:3">
      <c r="A1031" s="20">
        <v>44824</v>
      </c>
      <c r="B1031" s="23">
        <v>315.16910000000001</v>
      </c>
      <c r="C1031" s="21">
        <v>10.319450224843401</v>
      </c>
    </row>
    <row r="1032" spans="1:3">
      <c r="A1032" s="20">
        <v>44823</v>
      </c>
      <c r="B1032" s="23">
        <v>315.0625</v>
      </c>
      <c r="C1032" s="21">
        <v>10.298622415935901</v>
      </c>
    </row>
    <row r="1033" spans="1:3">
      <c r="A1033" s="20">
        <v>44822</v>
      </c>
      <c r="B1033" s="23">
        <v>314.95600000000002</v>
      </c>
      <c r="C1033" s="21">
        <v>10.2778620052647</v>
      </c>
    </row>
    <row r="1034" spans="1:3">
      <c r="A1034" s="20">
        <v>44821</v>
      </c>
      <c r="B1034" s="23">
        <v>314.8494</v>
      </c>
      <c r="C1034" s="21">
        <v>10.257021741528501</v>
      </c>
    </row>
    <row r="1035" spans="1:3">
      <c r="A1035" s="20">
        <v>44820</v>
      </c>
      <c r="B1035" s="23">
        <v>314.74299999999999</v>
      </c>
      <c r="C1035" s="21">
        <v>10.236283902132501</v>
      </c>
    </row>
    <row r="1036" spans="1:3">
      <c r="A1036" s="20">
        <v>44819</v>
      </c>
      <c r="B1036" s="23">
        <v>314.63650000000001</v>
      </c>
      <c r="C1036" s="21">
        <v>10.2154662070801</v>
      </c>
    </row>
    <row r="1037" spans="1:3">
      <c r="A1037" s="20">
        <v>44818</v>
      </c>
      <c r="B1037" s="23">
        <v>314.55459999999999</v>
      </c>
      <c r="C1037" s="21">
        <v>10.1981260111419</v>
      </c>
    </row>
    <row r="1038" spans="1:3">
      <c r="A1038" s="20">
        <v>44817</v>
      </c>
      <c r="B1038" s="23">
        <v>314.47280000000001</v>
      </c>
      <c r="C1038" s="21">
        <v>10.180817279528201</v>
      </c>
    </row>
    <row r="1039" spans="1:3">
      <c r="A1039" s="20">
        <v>44816</v>
      </c>
      <c r="B1039" s="23">
        <v>314.39089999999999</v>
      </c>
      <c r="C1039" s="21">
        <v>10.1634699413916</v>
      </c>
    </row>
    <row r="1040" spans="1:3">
      <c r="A1040" s="20">
        <v>44815</v>
      </c>
      <c r="B1040" s="23">
        <v>314.3091</v>
      </c>
      <c r="C1040" s="21">
        <v>10.1461926721085</v>
      </c>
    </row>
    <row r="1041" spans="1:3">
      <c r="A1041" s="20">
        <v>44814</v>
      </c>
      <c r="B1041" s="23">
        <v>314.22730000000001</v>
      </c>
      <c r="C1041" s="21">
        <v>10.1288732327726</v>
      </c>
    </row>
    <row r="1042" spans="1:3">
      <c r="A1042" s="20">
        <v>44813</v>
      </c>
      <c r="B1042" s="23">
        <v>314.1456</v>
      </c>
      <c r="C1042" s="21">
        <v>10.1115852750199</v>
      </c>
    </row>
    <row r="1043" spans="1:3">
      <c r="A1043" s="20">
        <v>44812</v>
      </c>
      <c r="B1043" s="23">
        <v>314.06380000000001</v>
      </c>
      <c r="C1043" s="21">
        <v>10.0942586990974</v>
      </c>
    </row>
    <row r="1044" spans="1:3">
      <c r="A1044" s="20">
        <v>44811</v>
      </c>
      <c r="B1044" s="23">
        <v>313.9821</v>
      </c>
      <c r="C1044" s="21">
        <v>10.0769636097766</v>
      </c>
    </row>
    <row r="1045" spans="1:3">
      <c r="A1045" s="20">
        <v>44810</v>
      </c>
      <c r="B1045" s="23">
        <v>313.90039999999999</v>
      </c>
      <c r="C1045" s="21">
        <v>10.059664954824401</v>
      </c>
    </row>
    <row r="1046" spans="1:3">
      <c r="A1046" s="20">
        <v>44809</v>
      </c>
      <c r="B1046" s="23">
        <v>313.81869999999998</v>
      </c>
      <c r="C1046" s="21">
        <v>10.0423627331379</v>
      </c>
    </row>
    <row r="1047" spans="1:3">
      <c r="A1047" s="20">
        <v>44808</v>
      </c>
      <c r="B1047" s="23">
        <v>313.7371</v>
      </c>
      <c r="C1047" s="21">
        <v>10.025053427907901</v>
      </c>
    </row>
    <row r="1048" spans="1:3">
      <c r="A1048" s="20">
        <v>44807</v>
      </c>
      <c r="B1048" s="23">
        <v>313.65539999999999</v>
      </c>
      <c r="C1048" s="21">
        <v>10.0077440751512</v>
      </c>
    </row>
    <row r="1049" spans="1:3">
      <c r="A1049" s="20">
        <v>44806</v>
      </c>
      <c r="B1049" s="23">
        <v>313.57380000000001</v>
      </c>
      <c r="C1049" s="21">
        <v>9.9904662287726307</v>
      </c>
    </row>
    <row r="1050" spans="1:3">
      <c r="A1050" s="20">
        <v>44805</v>
      </c>
      <c r="B1050" s="23">
        <v>313.49220000000003</v>
      </c>
      <c r="C1050" s="21">
        <v>9.9731848184818492</v>
      </c>
    </row>
    <row r="1051" spans="1:3">
      <c r="A1051" s="20">
        <v>44804</v>
      </c>
      <c r="B1051" s="23">
        <v>313.41070000000002</v>
      </c>
      <c r="C1051" s="21">
        <v>9.9559349268330308</v>
      </c>
    </row>
    <row r="1052" spans="1:3">
      <c r="A1052" s="20">
        <v>44803</v>
      </c>
      <c r="B1052" s="23">
        <v>313.32909999999998</v>
      </c>
      <c r="C1052" s="21">
        <v>9.9386078145652093</v>
      </c>
    </row>
    <row r="1053" spans="1:3">
      <c r="A1053" s="20">
        <v>44802</v>
      </c>
      <c r="B1053" s="23">
        <v>313.24759999999998</v>
      </c>
      <c r="C1053" s="21">
        <v>9.9213508025109594</v>
      </c>
    </row>
    <row r="1054" spans="1:3">
      <c r="A1054" s="20">
        <v>44801</v>
      </c>
      <c r="B1054" s="23">
        <v>313.16609999999997</v>
      </c>
      <c r="C1054" s="21">
        <v>9.9040902293741695</v>
      </c>
    </row>
    <row r="1055" spans="1:3">
      <c r="A1055" s="20">
        <v>44800</v>
      </c>
      <c r="B1055" s="23">
        <v>313.08460000000002</v>
      </c>
      <c r="C1055" s="21">
        <v>9.8868260940524504</v>
      </c>
    </row>
    <row r="1056" spans="1:3">
      <c r="A1056" s="20">
        <v>44799</v>
      </c>
      <c r="B1056" s="23">
        <v>313.00310000000002</v>
      </c>
      <c r="C1056" s="21">
        <v>9.8695198293213195</v>
      </c>
    </row>
    <row r="1057" spans="1:3">
      <c r="A1057" s="20">
        <v>44798</v>
      </c>
      <c r="B1057" s="23">
        <v>312.92169999999999</v>
      </c>
      <c r="C1057" s="21">
        <v>9.8522836737616899</v>
      </c>
    </row>
    <row r="1058" spans="1:3">
      <c r="A1058" s="20">
        <v>44797</v>
      </c>
      <c r="B1058" s="23">
        <v>312.84030000000001</v>
      </c>
      <c r="C1058" s="21">
        <v>9.8350053980040606</v>
      </c>
    </row>
    <row r="1059" spans="1:3">
      <c r="A1059" s="20">
        <v>44796</v>
      </c>
      <c r="B1059" s="23">
        <v>312.75889999999998</v>
      </c>
      <c r="C1059" s="21">
        <v>9.8177621269243005</v>
      </c>
    </row>
    <row r="1060" spans="1:3">
      <c r="A1060" s="20">
        <v>44795</v>
      </c>
      <c r="B1060" s="23">
        <v>312.67750000000001</v>
      </c>
      <c r="C1060" s="21">
        <v>9.8004767376201301</v>
      </c>
    </row>
    <row r="1061" spans="1:3">
      <c r="A1061" s="20">
        <v>44794</v>
      </c>
      <c r="B1061" s="23">
        <v>312.59609999999998</v>
      </c>
      <c r="C1061" s="21">
        <v>9.7832263466172904</v>
      </c>
    </row>
    <row r="1062" spans="1:3">
      <c r="A1062" s="20">
        <v>44793</v>
      </c>
      <c r="B1062" s="23">
        <v>312.51479999999998</v>
      </c>
      <c r="C1062" s="21">
        <v>9.76596896281516</v>
      </c>
    </row>
    <row r="1063" spans="1:3">
      <c r="A1063" s="20">
        <v>44792</v>
      </c>
      <c r="B1063" s="23">
        <v>312.43349999999998</v>
      </c>
      <c r="C1063" s="21">
        <v>9.7487465781839102</v>
      </c>
    </row>
    <row r="1064" spans="1:3">
      <c r="A1064" s="20">
        <v>44791</v>
      </c>
      <c r="B1064" s="23">
        <v>312.35219999999998</v>
      </c>
      <c r="C1064" s="21">
        <v>9.7314820865100309</v>
      </c>
    </row>
    <row r="1065" spans="1:3">
      <c r="A1065" s="20">
        <v>44790</v>
      </c>
      <c r="B1065" s="23">
        <v>312.27089999999998</v>
      </c>
      <c r="C1065" s="21">
        <v>9.7142140403011599</v>
      </c>
    </row>
    <row r="1066" spans="1:3">
      <c r="A1066" s="20">
        <v>44789</v>
      </c>
      <c r="B1066" s="23">
        <v>312.18959999999998</v>
      </c>
      <c r="C1066" s="21">
        <v>9.6969809837005698</v>
      </c>
    </row>
    <row r="1067" spans="1:3">
      <c r="A1067" s="20">
        <v>44788</v>
      </c>
      <c r="B1067" s="23">
        <v>312.10840000000002</v>
      </c>
      <c r="C1067" s="21">
        <v>9.6797409645794197</v>
      </c>
    </row>
    <row r="1068" spans="1:3">
      <c r="A1068" s="20">
        <v>44787</v>
      </c>
      <c r="B1068" s="23">
        <v>312.05720000000002</v>
      </c>
      <c r="C1068" s="21">
        <v>9.6599758230018793</v>
      </c>
    </row>
    <row r="1069" spans="1:3">
      <c r="A1069" s="20">
        <v>44786</v>
      </c>
      <c r="B1069" s="23">
        <v>312.00599999999997</v>
      </c>
      <c r="C1069" s="21">
        <v>9.6402113204152506</v>
      </c>
    </row>
    <row r="1070" spans="1:3">
      <c r="A1070" s="20">
        <v>44785</v>
      </c>
      <c r="B1070" s="23">
        <v>311.95479999999998</v>
      </c>
      <c r="C1070" s="21">
        <v>9.6204474567885292</v>
      </c>
    </row>
    <row r="1071" spans="1:3">
      <c r="A1071" s="20">
        <v>44784</v>
      </c>
      <c r="B1071" s="23">
        <v>311.90359999999998</v>
      </c>
      <c r="C1071" s="21">
        <v>9.6006842320907406</v>
      </c>
    </row>
    <row r="1072" spans="1:3">
      <c r="A1072" s="20">
        <v>44783</v>
      </c>
      <c r="B1072" s="23">
        <v>311.85239999999999</v>
      </c>
      <c r="C1072" s="21">
        <v>9.5809216462908999</v>
      </c>
    </row>
    <row r="1073" spans="1:3">
      <c r="A1073" s="20">
        <v>44782</v>
      </c>
      <c r="B1073" s="23">
        <v>311.80119999999999</v>
      </c>
      <c r="C1073" s="21">
        <v>9.5611596993580292</v>
      </c>
    </row>
    <row r="1074" spans="1:3">
      <c r="A1074" s="20">
        <v>44781</v>
      </c>
      <c r="B1074" s="23">
        <v>311.75009999999997</v>
      </c>
      <c r="C1074" s="21">
        <v>9.5414335288388195</v>
      </c>
    </row>
    <row r="1075" spans="1:3">
      <c r="A1075" s="20">
        <v>44780</v>
      </c>
      <c r="B1075" s="23">
        <v>311.69889999999998</v>
      </c>
      <c r="C1075" s="21">
        <v>9.52167285897902</v>
      </c>
    </row>
    <row r="1076" spans="1:3">
      <c r="A1076" s="20">
        <v>44779</v>
      </c>
      <c r="B1076" s="23">
        <v>311.64780000000002</v>
      </c>
      <c r="C1076" s="21">
        <v>9.5019479643351108</v>
      </c>
    </row>
    <row r="1077" spans="1:3">
      <c r="A1077" s="20">
        <v>44778</v>
      </c>
      <c r="B1077" s="23">
        <v>311.59660000000002</v>
      </c>
      <c r="C1077" s="21">
        <v>9.48218857142456</v>
      </c>
    </row>
    <row r="1078" spans="1:3">
      <c r="A1078" s="20">
        <v>44777</v>
      </c>
      <c r="B1078" s="23">
        <v>311.5455</v>
      </c>
      <c r="C1078" s="21">
        <v>9.4624649525321995</v>
      </c>
    </row>
    <row r="1079" spans="1:3">
      <c r="A1079" s="20">
        <v>44776</v>
      </c>
      <c r="B1079" s="23">
        <v>311.49439999999998</v>
      </c>
      <c r="C1079" s="21">
        <v>9.4427804236196895</v>
      </c>
    </row>
    <row r="1080" spans="1:3">
      <c r="A1080" s="20">
        <v>44775</v>
      </c>
      <c r="B1080" s="23">
        <v>311.44330000000002</v>
      </c>
      <c r="C1080" s="21">
        <v>9.4230580722365804</v>
      </c>
    </row>
    <row r="1081" spans="1:3">
      <c r="A1081" s="20">
        <v>44774</v>
      </c>
      <c r="B1081" s="23">
        <v>311.3922</v>
      </c>
      <c r="C1081" s="21">
        <v>9.4033363583375795</v>
      </c>
    </row>
    <row r="1082" spans="1:3">
      <c r="A1082" s="20">
        <v>44773</v>
      </c>
      <c r="B1082" s="23">
        <v>311.34109999999998</v>
      </c>
      <c r="C1082" s="21">
        <v>9.3836152818917604</v>
      </c>
    </row>
    <row r="1083" spans="1:3">
      <c r="A1083" s="20">
        <v>44772</v>
      </c>
      <c r="B1083" s="23">
        <v>311.29000000000002</v>
      </c>
      <c r="C1083" s="21">
        <v>9.3638948428682305</v>
      </c>
    </row>
    <row r="1084" spans="1:3">
      <c r="A1084" s="20">
        <v>44771</v>
      </c>
      <c r="B1084" s="23">
        <v>311.2389</v>
      </c>
      <c r="C1084" s="21">
        <v>9.3441750412360793</v>
      </c>
    </row>
    <row r="1085" spans="1:3">
      <c r="A1085" s="20">
        <v>44770</v>
      </c>
      <c r="B1085" s="23">
        <v>311.18779999999998</v>
      </c>
      <c r="C1085" s="21">
        <v>9.3244558769644108</v>
      </c>
    </row>
    <row r="1086" spans="1:3">
      <c r="A1086" s="20">
        <v>44769</v>
      </c>
      <c r="B1086" s="23">
        <v>311.13679999999999</v>
      </c>
      <c r="C1086" s="21">
        <v>9.3047724807984</v>
      </c>
    </row>
    <row r="1087" spans="1:3">
      <c r="A1087" s="20">
        <v>44768</v>
      </c>
      <c r="B1087" s="23">
        <v>311.08569999999997</v>
      </c>
      <c r="C1087" s="21">
        <v>9.2850545905872792</v>
      </c>
    </row>
    <row r="1088" spans="1:3">
      <c r="A1088" s="20">
        <v>44767</v>
      </c>
      <c r="B1088" s="23">
        <v>311.03469999999999</v>
      </c>
      <c r="C1088" s="21">
        <v>9.2653724672846405</v>
      </c>
    </row>
    <row r="1089" spans="1:3">
      <c r="A1089" s="20">
        <v>44766</v>
      </c>
      <c r="B1089" s="23">
        <v>310.98360000000002</v>
      </c>
      <c r="C1089" s="21">
        <v>9.2456558510105804</v>
      </c>
    </row>
    <row r="1090" spans="1:3">
      <c r="A1090" s="20">
        <v>44765</v>
      </c>
      <c r="B1090" s="23">
        <v>310.93259999999998</v>
      </c>
      <c r="C1090" s="21">
        <v>9.2259750004478907</v>
      </c>
    </row>
    <row r="1091" spans="1:3">
      <c r="A1091" s="20">
        <v>44764</v>
      </c>
      <c r="B1091" s="23">
        <v>310.88159999999999</v>
      </c>
      <c r="C1091" s="21">
        <v>9.2063331478577606</v>
      </c>
    </row>
    <row r="1092" spans="1:3">
      <c r="A1092" s="20">
        <v>44763</v>
      </c>
      <c r="B1092" s="23">
        <v>310.8306</v>
      </c>
      <c r="C1092" s="21">
        <v>9.1866535618112</v>
      </c>
    </row>
    <row r="1093" spans="1:3">
      <c r="A1093" s="20">
        <v>44762</v>
      </c>
      <c r="B1093" s="23">
        <v>310.77960000000002</v>
      </c>
      <c r="C1093" s="21">
        <v>9.1669746117433206</v>
      </c>
    </row>
    <row r="1094" spans="1:3">
      <c r="A1094" s="20">
        <v>44761</v>
      </c>
      <c r="B1094" s="23">
        <v>310.72859999999997</v>
      </c>
      <c r="C1094" s="21">
        <v>9.1472962976232903</v>
      </c>
    </row>
    <row r="1095" spans="1:3">
      <c r="A1095" s="20">
        <v>44760</v>
      </c>
      <c r="B1095" s="23">
        <v>310.67759999999998</v>
      </c>
      <c r="C1095" s="21">
        <v>9.1276186194202893</v>
      </c>
    </row>
    <row r="1096" spans="1:3">
      <c r="A1096" s="20">
        <v>44759</v>
      </c>
      <c r="B1096" s="23">
        <v>310.6266</v>
      </c>
      <c r="C1096" s="21">
        <v>9.10794157710348</v>
      </c>
    </row>
    <row r="1097" spans="1:3">
      <c r="A1097" s="20">
        <v>44758</v>
      </c>
      <c r="B1097" s="23">
        <v>310.57569999999998</v>
      </c>
      <c r="C1097" s="21">
        <v>9.08830029518667</v>
      </c>
    </row>
    <row r="1098" spans="1:3">
      <c r="A1098" s="20">
        <v>44757</v>
      </c>
      <c r="B1098" s="23">
        <v>310.5247</v>
      </c>
      <c r="C1098" s="21">
        <v>9.0686245239822991</v>
      </c>
    </row>
    <row r="1099" spans="1:3">
      <c r="A1099" s="20">
        <v>44756</v>
      </c>
      <c r="B1099" s="23">
        <v>310.43810000000002</v>
      </c>
      <c r="C1099" s="21">
        <v>9.0743729871677701</v>
      </c>
    </row>
    <row r="1100" spans="1:3">
      <c r="A1100" s="20">
        <v>44755</v>
      </c>
      <c r="B1100" s="23">
        <v>310.35160000000002</v>
      </c>
      <c r="C1100" s="21">
        <v>9.0801604122073503</v>
      </c>
    </row>
    <row r="1101" spans="1:3">
      <c r="A1101" s="20">
        <v>44754</v>
      </c>
      <c r="B1101" s="23">
        <v>310.26499999999999</v>
      </c>
      <c r="C1101" s="21">
        <v>9.0859165199952496</v>
      </c>
    </row>
    <row r="1102" spans="1:3">
      <c r="A1102" s="20">
        <v>44753</v>
      </c>
      <c r="B1102" s="23">
        <v>310.17849999999999</v>
      </c>
      <c r="C1102" s="21">
        <v>9.0916732523635506</v>
      </c>
    </row>
    <row r="1103" spans="1:3">
      <c r="A1103" s="20">
        <v>44752</v>
      </c>
      <c r="B1103" s="23">
        <v>310.09210000000002</v>
      </c>
      <c r="C1103" s="21">
        <v>9.0974689868207204</v>
      </c>
    </row>
    <row r="1104" spans="1:3">
      <c r="A1104" s="20">
        <v>44751</v>
      </c>
      <c r="B1104" s="23">
        <v>310.00560000000002</v>
      </c>
      <c r="C1104" s="21">
        <v>9.1032333742873703</v>
      </c>
    </row>
    <row r="1105" spans="1:3">
      <c r="A1105" s="20">
        <v>44750</v>
      </c>
      <c r="B1105" s="23">
        <v>309.91919999999999</v>
      </c>
      <c r="C1105" s="21">
        <v>9.1089983823014293</v>
      </c>
    </row>
    <row r="1106" spans="1:3">
      <c r="A1106" s="20">
        <v>44749</v>
      </c>
      <c r="B1106" s="23">
        <v>309.83280000000002</v>
      </c>
      <c r="C1106" s="21">
        <v>9.11476721536404</v>
      </c>
    </row>
    <row r="1107" spans="1:3">
      <c r="A1107" s="20">
        <v>44748</v>
      </c>
      <c r="B1107" s="23">
        <v>309.74639999999999</v>
      </c>
      <c r="C1107" s="21">
        <v>9.1205014352287002</v>
      </c>
    </row>
    <row r="1108" spans="1:3">
      <c r="A1108" s="20">
        <v>44747</v>
      </c>
      <c r="B1108" s="23">
        <v>309.66000000000003</v>
      </c>
      <c r="C1108" s="21">
        <v>9.1262779150206299</v>
      </c>
    </row>
    <row r="1109" spans="1:3">
      <c r="A1109" s="20">
        <v>44746</v>
      </c>
      <c r="B1109" s="23">
        <v>309.57369999999997</v>
      </c>
      <c r="C1109" s="21">
        <v>9.1320550120228194</v>
      </c>
    </row>
    <row r="1110" spans="1:3">
      <c r="A1110" s="20">
        <v>44745</v>
      </c>
      <c r="B1110" s="23">
        <v>309.48739999999998</v>
      </c>
      <c r="C1110" s="21">
        <v>9.1377974566860498</v>
      </c>
    </row>
    <row r="1111" spans="1:3">
      <c r="A1111" s="20">
        <v>44744</v>
      </c>
      <c r="B1111" s="23">
        <v>309.40109999999999</v>
      </c>
      <c r="C1111" s="21">
        <v>9.1435822108587193</v>
      </c>
    </row>
    <row r="1112" spans="1:3">
      <c r="A1112" s="20">
        <v>44743</v>
      </c>
      <c r="B1112" s="23">
        <v>309.31490000000002</v>
      </c>
      <c r="C1112" s="21">
        <v>9.1493675781652506</v>
      </c>
    </row>
    <row r="1113" spans="1:3">
      <c r="A1113" s="20">
        <v>44742</v>
      </c>
      <c r="B1113" s="23">
        <v>309.22859999999997</v>
      </c>
      <c r="C1113" s="21">
        <v>9.1551214856148793</v>
      </c>
    </row>
    <row r="1114" spans="1:3">
      <c r="A1114" s="20">
        <v>44741</v>
      </c>
      <c r="B1114" s="23">
        <v>309.14240000000001</v>
      </c>
      <c r="C1114" s="21">
        <v>9.1608759779787299</v>
      </c>
    </row>
    <row r="1115" spans="1:3">
      <c r="A1115" s="20">
        <v>44740</v>
      </c>
      <c r="B1115" s="23">
        <v>309.05619999999999</v>
      </c>
      <c r="C1115" s="21">
        <v>9.1666342876317994</v>
      </c>
    </row>
    <row r="1116" spans="1:3">
      <c r="A1116" s="20">
        <v>44739</v>
      </c>
      <c r="B1116" s="23">
        <v>308.9701</v>
      </c>
      <c r="C1116" s="21">
        <v>9.1724317526768395</v>
      </c>
    </row>
    <row r="1117" spans="1:3">
      <c r="A1117" s="20">
        <v>44738</v>
      </c>
      <c r="B1117" s="23">
        <v>308.88389999999998</v>
      </c>
      <c r="C1117" s="21">
        <v>9.1781977200396394</v>
      </c>
    </row>
    <row r="1118" spans="1:3">
      <c r="A1118" s="20">
        <v>44737</v>
      </c>
      <c r="B1118" s="23">
        <v>308.7978</v>
      </c>
      <c r="C1118" s="21">
        <v>9.1839642688688397</v>
      </c>
    </row>
    <row r="1119" spans="1:3">
      <c r="A1119" s="20">
        <v>44736</v>
      </c>
      <c r="B1119" s="23">
        <v>308.71170000000001</v>
      </c>
      <c r="C1119" s="21">
        <v>9.1897346439849201</v>
      </c>
    </row>
    <row r="1120" spans="1:3">
      <c r="A1120" s="20">
        <v>44735</v>
      </c>
      <c r="B1120" s="23">
        <v>308.62569999999999</v>
      </c>
      <c r="C1120" s="21">
        <v>9.1955055957151899</v>
      </c>
    </row>
    <row r="1121" spans="1:3">
      <c r="A1121" s="20">
        <v>44734</v>
      </c>
      <c r="B1121" s="23">
        <v>308.53960000000001</v>
      </c>
      <c r="C1121" s="21">
        <v>9.2012836317136504</v>
      </c>
    </row>
    <row r="1122" spans="1:3">
      <c r="A1122" s="20">
        <v>44733</v>
      </c>
      <c r="B1122" s="23">
        <v>308.45359999999999</v>
      </c>
      <c r="C1122" s="21">
        <v>9.2070622457057603</v>
      </c>
    </row>
    <row r="1123" spans="1:3">
      <c r="A1123" s="20">
        <v>44732</v>
      </c>
      <c r="B1123" s="23">
        <v>308.36759999999998</v>
      </c>
      <c r="C1123" s="21">
        <v>9.2128060156937295</v>
      </c>
    </row>
    <row r="1124" spans="1:3">
      <c r="A1124" s="20">
        <v>44731</v>
      </c>
      <c r="B1124" s="23">
        <v>308.28160000000003</v>
      </c>
      <c r="C1124" s="21">
        <v>9.2185922891960708</v>
      </c>
    </row>
    <row r="1125" spans="1:3">
      <c r="A1125" s="20">
        <v>44730</v>
      </c>
      <c r="B1125" s="23">
        <v>308.19569999999999</v>
      </c>
      <c r="C1125" s="21">
        <v>9.2243791365057994</v>
      </c>
    </row>
    <row r="1126" spans="1:3">
      <c r="A1126" s="20">
        <v>44729</v>
      </c>
      <c r="B1126" s="23">
        <v>308.10980000000001</v>
      </c>
      <c r="C1126" s="21">
        <v>9.2301311003495492</v>
      </c>
    </row>
    <row r="1127" spans="1:3">
      <c r="A1127" s="20">
        <v>44728</v>
      </c>
      <c r="B1127" s="23">
        <v>308.02390000000003</v>
      </c>
      <c r="C1127" s="21">
        <v>9.23592561752519</v>
      </c>
    </row>
    <row r="1128" spans="1:3">
      <c r="A1128" s="20">
        <v>44727</v>
      </c>
      <c r="B1128" s="23">
        <v>307.93799999999999</v>
      </c>
      <c r="C1128" s="21">
        <v>9.2416852290759195</v>
      </c>
    </row>
    <row r="1129" spans="1:3">
      <c r="A1129" s="20">
        <v>44726</v>
      </c>
      <c r="B1129" s="23">
        <v>307.81459999999998</v>
      </c>
      <c r="C1129" s="21">
        <v>9.2186376774363907</v>
      </c>
    </row>
    <row r="1130" spans="1:3">
      <c r="A1130" s="20">
        <v>44725</v>
      </c>
      <c r="B1130" s="23">
        <v>307.69130000000001</v>
      </c>
      <c r="C1130" s="21">
        <v>9.1956168626647994</v>
      </c>
    </row>
    <row r="1131" spans="1:3">
      <c r="A1131" s="20">
        <v>44724</v>
      </c>
      <c r="B1131" s="23">
        <v>307.56799999999998</v>
      </c>
      <c r="C1131" s="21">
        <v>9.1725873045621604</v>
      </c>
    </row>
    <row r="1132" spans="1:3">
      <c r="A1132" s="20">
        <v>44723</v>
      </c>
      <c r="B1132" s="23">
        <v>307.44479999999999</v>
      </c>
      <c r="C1132" s="21">
        <v>9.1495457498588806</v>
      </c>
    </row>
    <row r="1133" spans="1:3">
      <c r="A1133" s="20">
        <v>44722</v>
      </c>
      <c r="B1133" s="23">
        <v>307.32159999999999</v>
      </c>
      <c r="C1133" s="21">
        <v>9.1265342066156592</v>
      </c>
    </row>
    <row r="1134" spans="1:3">
      <c r="A1134" s="20">
        <v>44721</v>
      </c>
      <c r="B1134" s="23">
        <v>307.19850000000002</v>
      </c>
      <c r="C1134" s="21">
        <v>9.1035106854127701</v>
      </c>
    </row>
    <row r="1135" spans="1:3">
      <c r="A1135" s="20">
        <v>44720</v>
      </c>
      <c r="B1135" s="23">
        <v>307.0754</v>
      </c>
      <c r="C1135" s="21">
        <v>9.0804784295699594</v>
      </c>
    </row>
    <row r="1136" spans="1:3">
      <c r="A1136" s="20">
        <v>44719</v>
      </c>
      <c r="B1136" s="23">
        <v>306.95240000000001</v>
      </c>
      <c r="C1136" s="21">
        <v>9.0574729632312696</v>
      </c>
    </row>
    <row r="1137" spans="1:3">
      <c r="A1137" s="20">
        <v>44718</v>
      </c>
      <c r="B1137" s="23">
        <v>306.82940000000002</v>
      </c>
      <c r="C1137" s="21">
        <v>9.0344587657899105</v>
      </c>
    </row>
    <row r="1138" spans="1:3">
      <c r="A1138" s="20">
        <v>44717</v>
      </c>
      <c r="B1138" s="23">
        <v>306.70650000000001</v>
      </c>
      <c r="C1138" s="21">
        <v>9.0114713748767095</v>
      </c>
    </row>
    <row r="1139" spans="1:3">
      <c r="A1139" s="20">
        <v>44716</v>
      </c>
      <c r="B1139" s="23">
        <v>306.58359999999999</v>
      </c>
      <c r="C1139" s="21">
        <v>8.9884752564085701</v>
      </c>
    </row>
    <row r="1140" spans="1:3">
      <c r="A1140" s="20">
        <v>44715</v>
      </c>
      <c r="B1140" s="23">
        <v>306.46080000000001</v>
      </c>
      <c r="C1140" s="21">
        <v>8.9655059615133705</v>
      </c>
    </row>
    <row r="1141" spans="1:3">
      <c r="A1141" s="20">
        <v>44714</v>
      </c>
      <c r="B1141" s="23">
        <v>306.33800000000002</v>
      </c>
      <c r="C1141" s="21">
        <v>8.9425279426214708</v>
      </c>
    </row>
    <row r="1142" spans="1:3">
      <c r="A1142" s="20">
        <v>44713</v>
      </c>
      <c r="B1142" s="23">
        <v>306.21530000000001</v>
      </c>
      <c r="C1142" s="21">
        <v>8.9195380221171696</v>
      </c>
    </row>
    <row r="1143" spans="1:3">
      <c r="A1143" s="20">
        <v>44712</v>
      </c>
      <c r="B1143" s="23">
        <v>306.0926</v>
      </c>
      <c r="C1143" s="21">
        <v>8.8965781242439999</v>
      </c>
    </row>
    <row r="1144" spans="1:3">
      <c r="A1144" s="20">
        <v>44711</v>
      </c>
      <c r="B1144" s="23">
        <v>305.9699</v>
      </c>
      <c r="C1144" s="21">
        <v>8.8735707603716705</v>
      </c>
    </row>
    <row r="1145" spans="1:3">
      <c r="A1145" s="20">
        <v>44710</v>
      </c>
      <c r="B1145" s="23">
        <v>305.84739999999999</v>
      </c>
      <c r="C1145" s="21">
        <v>8.8506258474832595</v>
      </c>
    </row>
    <row r="1146" spans="1:3">
      <c r="A1146" s="20">
        <v>44709</v>
      </c>
      <c r="B1146" s="23">
        <v>305.72480000000002</v>
      </c>
      <c r="C1146" s="21">
        <v>8.8276366313228003</v>
      </c>
    </row>
    <row r="1147" spans="1:3">
      <c r="A1147" s="20">
        <v>44708</v>
      </c>
      <c r="B1147" s="23">
        <v>305.60230000000001</v>
      </c>
      <c r="C1147" s="21">
        <v>8.8046742933802005</v>
      </c>
    </row>
    <row r="1148" spans="1:3">
      <c r="A1148" s="20">
        <v>44707</v>
      </c>
      <c r="B1148" s="23">
        <v>305.47989999999999</v>
      </c>
      <c r="C1148" s="21">
        <v>8.7817388489600603</v>
      </c>
    </row>
    <row r="1149" spans="1:3">
      <c r="A1149" s="20">
        <v>44706</v>
      </c>
      <c r="B1149" s="23">
        <v>305.35750000000002</v>
      </c>
      <c r="C1149" s="21">
        <v>8.7587946965050598</v>
      </c>
    </row>
    <row r="1150" spans="1:3">
      <c r="A1150" s="20">
        <v>44705</v>
      </c>
      <c r="B1150" s="23">
        <v>305.23520000000002</v>
      </c>
      <c r="C1150" s="21">
        <v>8.7358774546911899</v>
      </c>
    </row>
    <row r="1151" spans="1:3">
      <c r="A1151" s="20">
        <v>44704</v>
      </c>
      <c r="B1151" s="23">
        <v>305.11290000000002</v>
      </c>
      <c r="C1151" s="21">
        <v>8.7129515084486808</v>
      </c>
    </row>
    <row r="1152" spans="1:3">
      <c r="A1152" s="20">
        <v>44703</v>
      </c>
      <c r="B1152" s="23">
        <v>304.99059999999997</v>
      </c>
      <c r="C1152" s="21">
        <v>8.6899781187857705</v>
      </c>
    </row>
    <row r="1153" spans="1:3">
      <c r="A1153" s="20">
        <v>44702</v>
      </c>
      <c r="B1153" s="23">
        <v>304.86840000000001</v>
      </c>
      <c r="C1153" s="21">
        <v>8.6670703935481601</v>
      </c>
    </row>
    <row r="1154" spans="1:3">
      <c r="A1154" s="20">
        <v>44701</v>
      </c>
      <c r="B1154" s="23">
        <v>304.74630000000002</v>
      </c>
      <c r="C1154" s="21">
        <v>8.6441508808393603</v>
      </c>
    </row>
    <row r="1155" spans="1:3">
      <c r="A1155" s="20">
        <v>44700</v>
      </c>
      <c r="B1155" s="23">
        <v>304.62419999999997</v>
      </c>
      <c r="C1155" s="21">
        <v>8.6212226725758203</v>
      </c>
    </row>
    <row r="1156" spans="1:3">
      <c r="A1156" s="20">
        <v>44699</v>
      </c>
      <c r="B1156" s="23">
        <v>304.50209999999998</v>
      </c>
      <c r="C1156" s="21">
        <v>8.5982857638080308</v>
      </c>
    </row>
    <row r="1157" spans="1:3">
      <c r="A1157" s="20">
        <v>44698</v>
      </c>
      <c r="B1157" s="23">
        <v>304.38010000000003</v>
      </c>
      <c r="C1157" s="21">
        <v>8.5753758205663893</v>
      </c>
    </row>
    <row r="1158" spans="1:3">
      <c r="A1158" s="20">
        <v>44697</v>
      </c>
      <c r="B1158" s="23">
        <v>304.25819999999999</v>
      </c>
      <c r="C1158" s="21">
        <v>8.5524928582055395</v>
      </c>
    </row>
    <row r="1159" spans="1:3">
      <c r="A1159" s="20">
        <v>44696</v>
      </c>
      <c r="B1159" s="23">
        <v>304.13630000000001</v>
      </c>
      <c r="C1159" s="21">
        <v>8.5296012075644096</v>
      </c>
    </row>
    <row r="1160" spans="1:3">
      <c r="A1160" s="20">
        <v>44695</v>
      </c>
      <c r="B1160" s="23">
        <v>304.03539999999998</v>
      </c>
      <c r="C1160" s="21">
        <v>8.5119884648055208</v>
      </c>
    </row>
    <row r="1161" spans="1:3">
      <c r="A1161" s="20">
        <v>44694</v>
      </c>
      <c r="B1161" s="23">
        <v>303.93459999999999</v>
      </c>
      <c r="C1161" s="21">
        <v>8.4944054458776606</v>
      </c>
    </row>
    <row r="1162" spans="1:3">
      <c r="A1162" s="20">
        <v>44693</v>
      </c>
      <c r="B1162" s="23">
        <v>303.8338</v>
      </c>
      <c r="C1162" s="21">
        <v>8.4768164632208798</v>
      </c>
    </row>
    <row r="1163" spans="1:3">
      <c r="A1163" s="20">
        <v>44692</v>
      </c>
      <c r="B1163" s="23">
        <v>303.733</v>
      </c>
      <c r="C1163" s="21">
        <v>8.4592215138005304</v>
      </c>
    </row>
    <row r="1164" spans="1:3">
      <c r="A1164" s="20">
        <v>44691</v>
      </c>
      <c r="B1164" s="23">
        <v>303.63229999999999</v>
      </c>
      <c r="C1164" s="21">
        <v>8.4416563093758494</v>
      </c>
    </row>
    <row r="1165" spans="1:3">
      <c r="A1165" s="20">
        <v>44690</v>
      </c>
      <c r="B1165" s="23">
        <v>303.53160000000003</v>
      </c>
      <c r="C1165" s="21">
        <v>8.4240464142346099</v>
      </c>
    </row>
    <row r="1166" spans="1:3">
      <c r="A1166" s="20">
        <v>44689</v>
      </c>
      <c r="B1166" s="23">
        <v>303.43090000000001</v>
      </c>
      <c r="C1166" s="21">
        <v>8.4064692850438991</v>
      </c>
    </row>
    <row r="1167" spans="1:3">
      <c r="A1167" s="20">
        <v>44688</v>
      </c>
      <c r="B1167" s="23">
        <v>303.33030000000002</v>
      </c>
      <c r="C1167" s="21">
        <v>8.3889219220335196</v>
      </c>
    </row>
    <row r="1168" spans="1:3">
      <c r="A1168" s="20">
        <v>44687</v>
      </c>
      <c r="B1168" s="23">
        <v>303.22969999999998</v>
      </c>
      <c r="C1168" s="21">
        <v>8.3713298704603396</v>
      </c>
    </row>
    <row r="1169" spans="1:3">
      <c r="A1169" s="20">
        <v>44686</v>
      </c>
      <c r="B1169" s="23">
        <v>303.12920000000003</v>
      </c>
      <c r="C1169" s="21">
        <v>8.3537676026634404</v>
      </c>
    </row>
    <row r="1170" spans="1:3">
      <c r="A1170" s="20">
        <v>44685</v>
      </c>
      <c r="B1170" s="23">
        <v>303.02859999999998</v>
      </c>
      <c r="C1170" s="21">
        <v>8.3362023629363602</v>
      </c>
    </row>
    <row r="1171" spans="1:3">
      <c r="A1171" s="20">
        <v>44684</v>
      </c>
      <c r="B1171" s="23">
        <v>302.9282</v>
      </c>
      <c r="C1171" s="21">
        <v>8.3186639391069104</v>
      </c>
    </row>
    <row r="1172" spans="1:3">
      <c r="A1172" s="20">
        <v>44683</v>
      </c>
      <c r="B1172" s="23">
        <v>302.82769999999999</v>
      </c>
      <c r="C1172" s="21">
        <v>8.3010838058555194</v>
      </c>
    </row>
    <row r="1173" spans="1:3">
      <c r="A1173" s="20">
        <v>44682</v>
      </c>
      <c r="B1173" s="23">
        <v>302.72730000000001</v>
      </c>
      <c r="C1173" s="21">
        <v>8.2835334806314407</v>
      </c>
    </row>
    <row r="1174" spans="1:3">
      <c r="A1174" s="20">
        <v>44681</v>
      </c>
      <c r="B1174" s="23">
        <v>302.62689999999998</v>
      </c>
      <c r="C1174" s="21">
        <v>8.2659772032010395</v>
      </c>
    </row>
    <row r="1175" spans="1:3">
      <c r="A1175" s="20">
        <v>44680</v>
      </c>
      <c r="B1175" s="23">
        <v>302.5265</v>
      </c>
      <c r="C1175" s="21">
        <v>8.2484149705357499</v>
      </c>
    </row>
    <row r="1176" spans="1:3">
      <c r="A1176" s="20">
        <v>44679</v>
      </c>
      <c r="B1176" s="23">
        <v>302.42619999999999</v>
      </c>
      <c r="C1176" s="21">
        <v>8.2308825671400996</v>
      </c>
    </row>
    <row r="1177" spans="1:3">
      <c r="A1177" s="20">
        <v>44678</v>
      </c>
      <c r="B1177" s="23">
        <v>302.32589999999999</v>
      </c>
      <c r="C1177" s="21">
        <v>8.2133442145898297</v>
      </c>
    </row>
    <row r="1178" spans="1:3">
      <c r="A1178" s="20">
        <v>44677</v>
      </c>
      <c r="B1178" s="23">
        <v>302.22559999999999</v>
      </c>
      <c r="C1178" s="21">
        <v>8.1957999098563992</v>
      </c>
    </row>
    <row r="1179" spans="1:3">
      <c r="A1179" s="20">
        <v>44676</v>
      </c>
      <c r="B1179" s="23">
        <v>302.12540000000001</v>
      </c>
      <c r="C1179" s="21">
        <v>8.1782467216261008</v>
      </c>
    </row>
    <row r="1180" spans="1:3">
      <c r="A1180" s="20">
        <v>44675</v>
      </c>
      <c r="B1180" s="23">
        <v>302.02519999999998</v>
      </c>
      <c r="C1180" s="21">
        <v>8.1607263210443897</v>
      </c>
    </row>
    <row r="1181" spans="1:3">
      <c r="A1181" s="20">
        <v>44674</v>
      </c>
      <c r="B1181" s="23">
        <v>301.92509999999999</v>
      </c>
      <c r="C1181" s="21">
        <v>8.1431970546233607</v>
      </c>
    </row>
    <row r="1182" spans="1:3">
      <c r="A1182" s="20">
        <v>44673</v>
      </c>
      <c r="B1182" s="23">
        <v>301.82490000000001</v>
      </c>
      <c r="C1182" s="21">
        <v>8.1256647585625608</v>
      </c>
    </row>
    <row r="1183" spans="1:3">
      <c r="A1183" s="20">
        <v>44672</v>
      </c>
      <c r="B1183" s="23">
        <v>301.72489999999999</v>
      </c>
      <c r="C1183" s="21">
        <v>8.1081594322228199</v>
      </c>
    </row>
    <row r="1184" spans="1:3">
      <c r="A1184" s="20">
        <v>44671</v>
      </c>
      <c r="B1184" s="23">
        <v>301.62479999999999</v>
      </c>
      <c r="C1184" s="21">
        <v>8.0906123352927306</v>
      </c>
    </row>
    <row r="1185" spans="1:3">
      <c r="A1185" s="20">
        <v>44670</v>
      </c>
      <c r="B1185" s="23">
        <v>301.52480000000003</v>
      </c>
      <c r="C1185" s="21">
        <v>8.0730951309100192</v>
      </c>
    </row>
    <row r="1186" spans="1:3">
      <c r="A1186" s="20">
        <v>44669</v>
      </c>
      <c r="B1186" s="23">
        <v>301.4248</v>
      </c>
      <c r="C1186" s="21">
        <v>8.0555719860120103</v>
      </c>
    </row>
    <row r="1187" spans="1:3">
      <c r="A1187" s="20">
        <v>44668</v>
      </c>
      <c r="B1187" s="23">
        <v>301.32479999999998</v>
      </c>
      <c r="C1187" s="21">
        <v>8.0380428975763198</v>
      </c>
    </row>
    <row r="1188" spans="1:3">
      <c r="A1188" s="20">
        <v>44667</v>
      </c>
      <c r="B1188" s="23">
        <v>301.22489999999999</v>
      </c>
      <c r="C1188" s="21">
        <v>8.0205437230083003</v>
      </c>
    </row>
    <row r="1189" spans="1:3">
      <c r="A1189" s="20">
        <v>44666</v>
      </c>
      <c r="B1189" s="23">
        <v>301.125</v>
      </c>
      <c r="C1189" s="21">
        <v>8.0030386110190506</v>
      </c>
    </row>
    <row r="1190" spans="1:3">
      <c r="A1190" s="20">
        <v>44665</v>
      </c>
      <c r="B1190" s="23">
        <v>300.96800000000002</v>
      </c>
      <c r="C1190" s="21">
        <v>7.9689174301526498</v>
      </c>
    </row>
    <row r="1191" spans="1:3">
      <c r="A1191" s="20">
        <v>44664</v>
      </c>
      <c r="B1191" s="23">
        <v>300.81110000000001</v>
      </c>
      <c r="C1191" s="21">
        <v>7.9348568283321397</v>
      </c>
    </row>
    <row r="1192" spans="1:3">
      <c r="A1192" s="20">
        <v>44663</v>
      </c>
      <c r="B1192" s="23">
        <v>300.6542</v>
      </c>
      <c r="C1192" s="21">
        <v>7.9007434693417604</v>
      </c>
    </row>
    <row r="1193" spans="1:3">
      <c r="A1193" s="20">
        <v>44662</v>
      </c>
      <c r="B1193" s="23">
        <v>300.49740000000003</v>
      </c>
      <c r="C1193" s="21">
        <v>7.8666906930880698</v>
      </c>
    </row>
    <row r="1194" spans="1:3">
      <c r="A1194" s="20">
        <v>44661</v>
      </c>
      <c r="B1194" s="23">
        <v>300.3408</v>
      </c>
      <c r="C1194" s="21">
        <v>7.8326569725004802</v>
      </c>
    </row>
    <row r="1195" spans="1:3">
      <c r="A1195" s="20">
        <v>44660</v>
      </c>
      <c r="B1195" s="23">
        <v>300.1841</v>
      </c>
      <c r="C1195" s="21">
        <v>7.79857333492299</v>
      </c>
    </row>
    <row r="1196" spans="1:3">
      <c r="A1196" s="20">
        <v>44659</v>
      </c>
      <c r="B1196" s="23">
        <v>300.02760000000001</v>
      </c>
      <c r="C1196" s="21">
        <v>7.7645475041692098</v>
      </c>
    </row>
    <row r="1197" spans="1:3">
      <c r="A1197" s="20">
        <v>44658</v>
      </c>
      <c r="B1197" s="23">
        <v>299.87119999999999</v>
      </c>
      <c r="C1197" s="21">
        <v>7.7305435903331396</v>
      </c>
    </row>
    <row r="1198" spans="1:3">
      <c r="A1198" s="20">
        <v>44657</v>
      </c>
      <c r="B1198" s="23">
        <v>299.71480000000003</v>
      </c>
      <c r="C1198" s="21">
        <v>7.6965256739504104</v>
      </c>
    </row>
    <row r="1199" spans="1:3">
      <c r="A1199" s="20">
        <v>44656</v>
      </c>
      <c r="B1199" s="23">
        <v>299.55849999999998</v>
      </c>
      <c r="C1199" s="21">
        <v>7.66249099243994</v>
      </c>
    </row>
    <row r="1200" spans="1:3">
      <c r="A1200" s="20">
        <v>44655</v>
      </c>
      <c r="B1200" s="23">
        <v>299.40230000000003</v>
      </c>
      <c r="C1200" s="21">
        <v>7.6285169522598899</v>
      </c>
    </row>
    <row r="1201" spans="1:3">
      <c r="A1201" s="20">
        <v>44654</v>
      </c>
      <c r="B1201" s="23">
        <v>299.24619999999999</v>
      </c>
      <c r="C1201" s="21">
        <v>7.5945261825660504</v>
      </c>
    </row>
    <row r="1202" spans="1:3">
      <c r="A1202" s="20">
        <v>44653</v>
      </c>
      <c r="B1202" s="23">
        <v>299.09019999999998</v>
      </c>
      <c r="C1202" s="21">
        <v>7.5605960728127499</v>
      </c>
    </row>
    <row r="1203" spans="1:3">
      <c r="A1203" s="20">
        <v>44652</v>
      </c>
      <c r="B1203" s="23">
        <v>298.93419999999998</v>
      </c>
      <c r="C1203" s="21">
        <v>7.5266132991858203</v>
      </c>
    </row>
    <row r="1204" spans="1:3">
      <c r="A1204" s="20">
        <v>44651</v>
      </c>
      <c r="B1204" s="23">
        <v>298.77839999999998</v>
      </c>
      <c r="C1204" s="21">
        <v>7.4926884936732003</v>
      </c>
    </row>
    <row r="1205" spans="1:3">
      <c r="A1205" s="20">
        <v>44650</v>
      </c>
      <c r="B1205" s="23">
        <v>298.62259999999998</v>
      </c>
      <c r="C1205" s="21">
        <v>7.4587497224672203</v>
      </c>
    </row>
    <row r="1206" spans="1:3">
      <c r="A1206" s="20">
        <v>44649</v>
      </c>
      <c r="B1206" s="23">
        <v>298.46679999999998</v>
      </c>
      <c r="C1206" s="21">
        <v>7.4247969769423099</v>
      </c>
    </row>
    <row r="1207" spans="1:3">
      <c r="A1207" s="20">
        <v>44648</v>
      </c>
      <c r="B1207" s="23">
        <v>298.31119999999999</v>
      </c>
      <c r="C1207" s="21">
        <v>7.3908635874041702</v>
      </c>
    </row>
    <row r="1208" spans="1:3">
      <c r="A1208" s="20">
        <v>44647</v>
      </c>
      <c r="B1208" s="23">
        <v>298.15570000000002</v>
      </c>
      <c r="C1208" s="21">
        <v>7.3569909075066002</v>
      </c>
    </row>
    <row r="1209" spans="1:3">
      <c r="A1209" s="20">
        <v>44646</v>
      </c>
      <c r="B1209" s="23">
        <v>298.00020000000001</v>
      </c>
      <c r="C1209" s="21">
        <v>7.3230656200874096</v>
      </c>
    </row>
    <row r="1210" spans="1:3">
      <c r="A1210" s="20">
        <v>44645</v>
      </c>
      <c r="B1210" s="23">
        <v>297.84480000000002</v>
      </c>
      <c r="C1210" s="21">
        <v>7.2892010462185501</v>
      </c>
    </row>
    <row r="1211" spans="1:3">
      <c r="A1211" s="20">
        <v>44644</v>
      </c>
      <c r="B1211" s="23">
        <v>297.68950000000001</v>
      </c>
      <c r="C1211" s="21">
        <v>7.2553199001845403</v>
      </c>
    </row>
    <row r="1212" spans="1:3">
      <c r="A1212" s="20">
        <v>44643</v>
      </c>
      <c r="B1212" s="23">
        <v>297.53429999999997</v>
      </c>
      <c r="C1212" s="21">
        <v>7.2214608474167701</v>
      </c>
    </row>
    <row r="1213" spans="1:3">
      <c r="A1213" s="20">
        <v>44642</v>
      </c>
      <c r="B1213" s="23">
        <v>297.37909999999999</v>
      </c>
      <c r="C1213" s="21">
        <v>7.1875878574672498</v>
      </c>
    </row>
    <row r="1214" spans="1:3">
      <c r="A1214" s="20">
        <v>44641</v>
      </c>
      <c r="B1214" s="23">
        <v>297.22410000000002</v>
      </c>
      <c r="C1214" s="21">
        <v>7.1537730247468403</v>
      </c>
    </row>
    <row r="1215" spans="1:3">
      <c r="A1215" s="20">
        <v>44640</v>
      </c>
      <c r="B1215" s="23">
        <v>297.06909999999999</v>
      </c>
      <c r="C1215" s="21">
        <v>7.1199442673149598</v>
      </c>
    </row>
    <row r="1216" spans="1:3">
      <c r="A1216" s="20">
        <v>44639</v>
      </c>
      <c r="B1216" s="23">
        <v>296.91419999999999</v>
      </c>
      <c r="C1216" s="21">
        <v>7.0861376429264702</v>
      </c>
    </row>
    <row r="1217" spans="1:3">
      <c r="A1217" s="20">
        <v>44638</v>
      </c>
      <c r="B1217" s="23">
        <v>296.75940000000003</v>
      </c>
      <c r="C1217" s="21">
        <v>7.05231454743467</v>
      </c>
    </row>
    <row r="1218" spans="1:3">
      <c r="A1218" s="20">
        <v>44637</v>
      </c>
      <c r="B1218" s="23">
        <v>296.6046</v>
      </c>
      <c r="C1218" s="21">
        <v>7.01851615319503</v>
      </c>
    </row>
    <row r="1219" spans="1:3">
      <c r="A1219" s="20">
        <v>44636</v>
      </c>
      <c r="B1219" s="23">
        <v>296.45</v>
      </c>
      <c r="C1219" s="21">
        <v>6.9847373974902496</v>
      </c>
    </row>
    <row r="1220" spans="1:3">
      <c r="A1220" s="20">
        <v>44635</v>
      </c>
      <c r="B1220" s="23">
        <v>296.29539999999997</v>
      </c>
      <c r="C1220" s="21">
        <v>6.9509447419962402</v>
      </c>
    </row>
    <row r="1221" spans="1:3">
      <c r="A1221" s="20">
        <v>44634</v>
      </c>
      <c r="B1221" s="23">
        <v>296.12009999999998</v>
      </c>
      <c r="C1221" s="21">
        <v>6.9032964486038004</v>
      </c>
    </row>
    <row r="1222" spans="1:3">
      <c r="A1222" s="20">
        <v>44633</v>
      </c>
      <c r="B1222" s="23">
        <v>295.94499999999999</v>
      </c>
      <c r="C1222" s="21">
        <v>6.8556678510833997</v>
      </c>
    </row>
    <row r="1223" spans="1:3">
      <c r="A1223" s="20">
        <v>44632</v>
      </c>
      <c r="B1223" s="23">
        <v>295.77</v>
      </c>
      <c r="C1223" s="21">
        <v>6.8081000385674901</v>
      </c>
    </row>
    <row r="1224" spans="1:3">
      <c r="A1224" s="20">
        <v>44631</v>
      </c>
      <c r="B1224" s="23">
        <v>295.5951</v>
      </c>
      <c r="C1224" s="21">
        <v>6.7605544272956202</v>
      </c>
    </row>
    <row r="1225" spans="1:3">
      <c r="A1225" s="20">
        <v>44630</v>
      </c>
      <c r="B1225" s="23">
        <v>295.42039999999997</v>
      </c>
      <c r="C1225" s="21">
        <v>6.7130286021016801</v>
      </c>
    </row>
    <row r="1226" spans="1:3">
      <c r="A1226" s="20">
        <v>44629</v>
      </c>
      <c r="B1226" s="23">
        <v>295.2457</v>
      </c>
      <c r="C1226" s="21">
        <v>6.6655274393614397</v>
      </c>
    </row>
    <row r="1227" spans="1:3">
      <c r="A1227" s="20">
        <v>44628</v>
      </c>
      <c r="B1227" s="23">
        <v>295.0711</v>
      </c>
      <c r="C1227" s="21">
        <v>6.6180099828223797</v>
      </c>
    </row>
    <row r="1228" spans="1:3">
      <c r="A1228" s="20">
        <v>44627</v>
      </c>
      <c r="B1228" s="23">
        <v>294.89659999999998</v>
      </c>
      <c r="C1228" s="21">
        <v>6.57055330233392</v>
      </c>
    </row>
    <row r="1229" spans="1:3">
      <c r="A1229" s="20">
        <v>44626</v>
      </c>
      <c r="B1229" s="23">
        <v>294.72219999999999</v>
      </c>
      <c r="C1229" s="21">
        <v>6.5230803706160101</v>
      </c>
    </row>
    <row r="1230" spans="1:3">
      <c r="A1230" s="20">
        <v>44625</v>
      </c>
      <c r="B1230" s="23">
        <v>294.54790000000003</v>
      </c>
      <c r="C1230" s="21">
        <v>6.4756297217154399</v>
      </c>
    </row>
    <row r="1231" spans="1:3">
      <c r="A1231" s="20">
        <v>44624</v>
      </c>
      <c r="B1231" s="23">
        <v>294.37380000000002</v>
      </c>
      <c r="C1231" s="21">
        <v>6.4282375195096604</v>
      </c>
    </row>
    <row r="1232" spans="1:3">
      <c r="A1232" s="20">
        <v>44623</v>
      </c>
      <c r="B1232" s="23">
        <v>294.19970000000001</v>
      </c>
      <c r="C1232" s="21">
        <v>6.3808699375020801</v>
      </c>
    </row>
    <row r="1233" spans="1:3">
      <c r="A1233" s="20">
        <v>44622</v>
      </c>
      <c r="B1233" s="23">
        <v>294.02569999999997</v>
      </c>
      <c r="C1233" s="21">
        <v>6.3334861894277603</v>
      </c>
    </row>
    <row r="1234" spans="1:3">
      <c r="A1234" s="20">
        <v>44621</v>
      </c>
      <c r="B1234" s="23">
        <v>293.8519</v>
      </c>
      <c r="C1234" s="21">
        <v>6.2861609332432504</v>
      </c>
    </row>
    <row r="1235" spans="1:3">
      <c r="A1235" s="20">
        <v>44620</v>
      </c>
      <c r="B1235" s="23">
        <v>293.67809999999997</v>
      </c>
      <c r="C1235" s="21">
        <v>6.2388218440701504</v>
      </c>
    </row>
    <row r="1236" spans="1:3">
      <c r="A1236" s="20">
        <v>44619</v>
      </c>
      <c r="B1236" s="23">
        <v>293.50439999999998</v>
      </c>
      <c r="C1236" s="21">
        <v>6.1915050963922198</v>
      </c>
    </row>
    <row r="1237" spans="1:3">
      <c r="A1237" s="20">
        <v>44618</v>
      </c>
      <c r="B1237" s="23">
        <v>293.33089999999999</v>
      </c>
      <c r="C1237" s="21">
        <v>6.1442084766744403</v>
      </c>
    </row>
    <row r="1238" spans="1:3">
      <c r="A1238" s="20">
        <v>44617</v>
      </c>
      <c r="B1238" s="23">
        <v>293.1574</v>
      </c>
      <c r="C1238" s="21">
        <v>6.0969364581708501</v>
      </c>
    </row>
    <row r="1239" spans="1:3">
      <c r="A1239" s="20">
        <v>44616</v>
      </c>
      <c r="B1239" s="23">
        <v>292.98410000000001</v>
      </c>
      <c r="C1239" s="21">
        <v>6.0497230069804804</v>
      </c>
    </row>
    <row r="1240" spans="1:3">
      <c r="A1240" s="20">
        <v>44615</v>
      </c>
      <c r="B1240" s="23">
        <v>292.81079999999997</v>
      </c>
      <c r="C1240" s="21">
        <v>6.00249574539487</v>
      </c>
    </row>
    <row r="1241" spans="1:3">
      <c r="A1241" s="20">
        <v>44614</v>
      </c>
      <c r="B1241" s="23">
        <v>292.6377</v>
      </c>
      <c r="C1241" s="21">
        <v>5.9552887181206504</v>
      </c>
    </row>
    <row r="1242" spans="1:3">
      <c r="A1242" s="20">
        <v>44613</v>
      </c>
      <c r="B1242" s="23">
        <v>292.46460000000002</v>
      </c>
      <c r="C1242" s="21">
        <v>5.9081062642178503</v>
      </c>
    </row>
    <row r="1243" spans="1:3">
      <c r="A1243" s="20">
        <v>44612</v>
      </c>
      <c r="B1243" s="23">
        <v>292.29169999999999</v>
      </c>
      <c r="C1243" s="21">
        <v>5.8609440978222</v>
      </c>
    </row>
    <row r="1244" spans="1:3">
      <c r="A1244" s="20">
        <v>44611</v>
      </c>
      <c r="B1244" s="23">
        <v>292.11880000000002</v>
      </c>
      <c r="C1244" s="21">
        <v>5.8138064909205598</v>
      </c>
    </row>
    <row r="1245" spans="1:3">
      <c r="A1245" s="20">
        <v>44610</v>
      </c>
      <c r="B1245" s="23">
        <v>291.9461</v>
      </c>
      <c r="C1245" s="21">
        <v>5.7666892247319499</v>
      </c>
    </row>
    <row r="1246" spans="1:3">
      <c r="A1246" s="20">
        <v>44609</v>
      </c>
      <c r="B1246" s="23">
        <v>291.77350000000001</v>
      </c>
      <c r="C1246" s="21">
        <v>5.7196327376552603</v>
      </c>
    </row>
    <row r="1247" spans="1:3">
      <c r="A1247" s="20">
        <v>44608</v>
      </c>
      <c r="B1247" s="23">
        <v>291.60090000000002</v>
      </c>
      <c r="C1247" s="21">
        <v>5.6725241775887199</v>
      </c>
    </row>
    <row r="1248" spans="1:3">
      <c r="A1248" s="20">
        <v>44607</v>
      </c>
      <c r="B1248" s="23">
        <v>291.42849999999999</v>
      </c>
      <c r="C1248" s="21">
        <v>5.6254743439284303</v>
      </c>
    </row>
    <row r="1249" spans="1:3">
      <c r="A1249" s="20">
        <v>44606</v>
      </c>
      <c r="B1249" s="23">
        <v>291.36009999999999</v>
      </c>
      <c r="C1249" s="21">
        <v>5.6136216006170896</v>
      </c>
    </row>
    <row r="1250" spans="1:3">
      <c r="A1250" s="20">
        <v>44605</v>
      </c>
      <c r="B1250" s="23">
        <v>291.29180000000002</v>
      </c>
      <c r="C1250" s="21">
        <v>5.6017639217531601</v>
      </c>
    </row>
    <row r="1251" spans="1:3">
      <c r="A1251" s="20">
        <v>44604</v>
      </c>
      <c r="B1251" s="23">
        <v>291.2235</v>
      </c>
      <c r="C1251" s="21">
        <v>5.5899416292823103</v>
      </c>
    </row>
    <row r="1252" spans="1:3">
      <c r="A1252" s="20">
        <v>44603</v>
      </c>
      <c r="B1252" s="23">
        <v>291.1551</v>
      </c>
      <c r="C1252" s="21">
        <v>5.5780418925171604</v>
      </c>
    </row>
    <row r="1253" spans="1:3">
      <c r="A1253" s="20">
        <v>44602</v>
      </c>
      <c r="B1253" s="23">
        <v>291.08679999999998</v>
      </c>
      <c r="C1253" s="21">
        <v>5.5662137981406996</v>
      </c>
    </row>
    <row r="1254" spans="1:3">
      <c r="A1254" s="20">
        <v>44601</v>
      </c>
      <c r="B1254" s="23">
        <v>291.01850000000002</v>
      </c>
      <c r="C1254" s="21">
        <v>5.55434451836003</v>
      </c>
    </row>
    <row r="1255" spans="1:3">
      <c r="A1255" s="20">
        <v>44600</v>
      </c>
      <c r="B1255" s="23">
        <v>290.95030000000003</v>
      </c>
      <c r="C1255" s="21">
        <v>5.5425086117084401</v>
      </c>
    </row>
    <row r="1256" spans="1:3">
      <c r="A1256" s="20">
        <v>44599</v>
      </c>
      <c r="B1256" s="23">
        <v>290.88200000000001</v>
      </c>
      <c r="C1256" s="21">
        <v>5.5306335313591202</v>
      </c>
    </row>
    <row r="1257" spans="1:3">
      <c r="A1257" s="20">
        <v>44598</v>
      </c>
      <c r="B1257" s="23">
        <v>290.81380000000001</v>
      </c>
      <c r="C1257" s="21">
        <v>5.5188301173024898</v>
      </c>
    </row>
    <row r="1258" spans="1:3">
      <c r="A1258" s="20">
        <v>44597</v>
      </c>
      <c r="B1258" s="23">
        <v>290.74549999999999</v>
      </c>
      <c r="C1258" s="21">
        <v>5.5069492324999096</v>
      </c>
    </row>
    <row r="1259" spans="1:3">
      <c r="A1259" s="20">
        <v>44596</v>
      </c>
      <c r="B1259" s="23">
        <v>290.6773</v>
      </c>
      <c r="C1259" s="21">
        <v>5.4951017343268402</v>
      </c>
    </row>
    <row r="1260" spans="1:3">
      <c r="A1260" s="20">
        <v>44595</v>
      </c>
      <c r="B1260" s="23">
        <v>290.60910000000001</v>
      </c>
      <c r="C1260" s="21">
        <v>5.4832513377369203</v>
      </c>
    </row>
    <row r="1261" spans="1:3">
      <c r="A1261" s="20">
        <v>44594</v>
      </c>
      <c r="B1261" s="23">
        <v>290.541</v>
      </c>
      <c r="C1261" s="21">
        <v>5.4714343434050097</v>
      </c>
    </row>
    <row r="1262" spans="1:3">
      <c r="A1262" s="20">
        <v>44593</v>
      </c>
      <c r="B1262" s="23">
        <v>290.47280000000001</v>
      </c>
      <c r="C1262" s="21">
        <v>5.45957815123122</v>
      </c>
    </row>
    <row r="1263" spans="1:3">
      <c r="A1263" s="20">
        <v>44592</v>
      </c>
      <c r="B1263" s="23">
        <v>290.40469999999999</v>
      </c>
      <c r="C1263" s="21">
        <v>5.4477553680717099</v>
      </c>
    </row>
    <row r="1264" spans="1:3">
      <c r="A1264" s="20">
        <v>44591</v>
      </c>
      <c r="B1264" s="23">
        <v>290.3365</v>
      </c>
      <c r="C1264" s="21">
        <v>5.4358933760592203</v>
      </c>
    </row>
    <row r="1265" spans="1:3">
      <c r="A1265" s="20">
        <v>44590</v>
      </c>
      <c r="B1265" s="23">
        <v>290.26839999999999</v>
      </c>
      <c r="C1265" s="21">
        <v>5.4240647998195604</v>
      </c>
    </row>
    <row r="1266" spans="1:3">
      <c r="A1266" s="20">
        <v>44589</v>
      </c>
      <c r="B1266" s="23">
        <v>290.20030000000003</v>
      </c>
      <c r="C1266" s="21">
        <v>5.4122333276668</v>
      </c>
    </row>
    <row r="1267" spans="1:3">
      <c r="A1267" s="20">
        <v>44588</v>
      </c>
      <c r="B1267" s="23">
        <v>290.13220000000001</v>
      </c>
      <c r="C1267" s="21">
        <v>5.4003989585373002</v>
      </c>
    </row>
    <row r="1268" spans="1:3">
      <c r="A1268" s="20">
        <v>44587</v>
      </c>
      <c r="B1268" s="23">
        <v>290.06420000000003</v>
      </c>
      <c r="C1268" s="21">
        <v>5.3885597335494904</v>
      </c>
    </row>
    <row r="1269" spans="1:3">
      <c r="A1269" s="20">
        <v>44586</v>
      </c>
      <c r="B1269" s="23">
        <v>289.99610000000001</v>
      </c>
      <c r="C1269" s="21">
        <v>5.3767195713362703</v>
      </c>
    </row>
    <row r="1270" spans="1:3">
      <c r="A1270" s="20">
        <v>44585</v>
      </c>
      <c r="B1270" s="23">
        <v>289.92809999999997</v>
      </c>
      <c r="C1270" s="21">
        <v>5.3649128506932398</v>
      </c>
    </row>
    <row r="1271" spans="1:3">
      <c r="A1271" s="20">
        <v>44584</v>
      </c>
      <c r="B1271" s="23">
        <v>289.86009999999999</v>
      </c>
      <c r="C1271" s="21">
        <v>5.3530649458932604</v>
      </c>
    </row>
    <row r="1272" spans="1:3">
      <c r="A1272" s="20">
        <v>44583</v>
      </c>
      <c r="B1272" s="23">
        <v>289.7921</v>
      </c>
      <c r="C1272" s="21">
        <v>5.3412524391272402</v>
      </c>
    </row>
    <row r="1273" spans="1:3">
      <c r="A1273" s="20">
        <v>44582</v>
      </c>
      <c r="B1273" s="23">
        <v>289.72410000000002</v>
      </c>
      <c r="C1273" s="21">
        <v>5.32943703790417</v>
      </c>
    </row>
    <row r="1274" spans="1:3">
      <c r="A1274" s="20">
        <v>44581</v>
      </c>
      <c r="B1274" s="23">
        <v>289.65609999999998</v>
      </c>
      <c r="C1274" s="21">
        <v>5.3175804481747697</v>
      </c>
    </row>
    <row r="1275" spans="1:3">
      <c r="A1275" s="20">
        <v>44580</v>
      </c>
      <c r="B1275" s="23">
        <v>289.58819999999997</v>
      </c>
      <c r="C1275" s="21">
        <v>5.3057956184312998</v>
      </c>
    </row>
    <row r="1276" spans="1:3">
      <c r="A1276" s="20">
        <v>44579</v>
      </c>
      <c r="B1276" s="23">
        <v>289.52019999999999</v>
      </c>
      <c r="C1276" s="21">
        <v>5.2939332377571198</v>
      </c>
    </row>
    <row r="1277" spans="1:3">
      <c r="A1277" s="20">
        <v>44578</v>
      </c>
      <c r="B1277" s="23">
        <v>289.45229999999998</v>
      </c>
      <c r="C1277" s="21">
        <v>5.2821043304809701</v>
      </c>
    </row>
    <row r="1278" spans="1:3">
      <c r="A1278" s="20">
        <v>44577</v>
      </c>
      <c r="B1278" s="23">
        <v>289.38440000000003</v>
      </c>
      <c r="C1278" s="21">
        <v>5.2703108260745397</v>
      </c>
    </row>
    <row r="1279" spans="1:3">
      <c r="A1279" s="20">
        <v>44576</v>
      </c>
      <c r="B1279" s="23">
        <v>289.31650000000002</v>
      </c>
      <c r="C1279" s="21">
        <v>5.2584761348294</v>
      </c>
    </row>
    <row r="1280" spans="1:3">
      <c r="A1280" s="20">
        <v>44575</v>
      </c>
      <c r="B1280" s="23">
        <v>289.26990000000001</v>
      </c>
      <c r="C1280" s="21">
        <v>5.2364300728837199</v>
      </c>
    </row>
    <row r="1281" spans="1:3">
      <c r="A1281" s="20">
        <v>44574</v>
      </c>
      <c r="B1281" s="23">
        <v>289.22340000000003</v>
      </c>
      <c r="C1281" s="21">
        <v>5.2144225225045</v>
      </c>
    </row>
    <row r="1282" spans="1:3">
      <c r="A1282" s="20">
        <v>44573</v>
      </c>
      <c r="B1282" s="23">
        <v>289.17689999999999</v>
      </c>
      <c r="C1282" s="21">
        <v>5.1924171016082799</v>
      </c>
    </row>
    <row r="1283" spans="1:3">
      <c r="A1283" s="20">
        <v>44572</v>
      </c>
      <c r="B1283" s="23">
        <v>289.13040000000001</v>
      </c>
      <c r="C1283" s="21">
        <v>5.170413809886</v>
      </c>
    </row>
    <row r="1284" spans="1:3">
      <c r="A1284" s="20">
        <v>44571</v>
      </c>
      <c r="B1284" s="23">
        <v>289.0838</v>
      </c>
      <c r="C1284" s="21">
        <v>5.1483762740543604</v>
      </c>
    </row>
    <row r="1285" spans="1:3">
      <c r="A1285" s="20">
        <v>44570</v>
      </c>
      <c r="B1285" s="23">
        <v>289.03730000000002</v>
      </c>
      <c r="C1285" s="21">
        <v>5.1263390057859297</v>
      </c>
    </row>
    <row r="1286" spans="1:3">
      <c r="A1286" s="20">
        <v>44569</v>
      </c>
      <c r="B1286" s="23">
        <v>288.99079999999998</v>
      </c>
      <c r="C1286" s="21">
        <v>5.1043421113406797</v>
      </c>
    </row>
    <row r="1287" spans="1:3">
      <c r="A1287" s="20">
        <v>44568</v>
      </c>
      <c r="B1287" s="23">
        <v>288.9443</v>
      </c>
      <c r="C1287" s="21">
        <v>5.0823473448318204</v>
      </c>
    </row>
    <row r="1288" spans="1:3">
      <c r="A1288" s="20">
        <v>44567</v>
      </c>
      <c r="B1288" s="23">
        <v>288.89789999999999</v>
      </c>
      <c r="C1288" s="21">
        <v>5.0603910718747001</v>
      </c>
    </row>
    <row r="1289" spans="1:3">
      <c r="A1289" s="20">
        <v>44566</v>
      </c>
      <c r="B1289" s="23">
        <v>288.85140000000001</v>
      </c>
      <c r="C1289" s="21">
        <v>5.0384005585535796</v>
      </c>
    </row>
    <row r="1290" spans="1:3">
      <c r="A1290" s="20">
        <v>44565</v>
      </c>
      <c r="B1290" s="23">
        <v>288.80489999999998</v>
      </c>
      <c r="C1290" s="21">
        <v>5.0164121722428998</v>
      </c>
    </row>
    <row r="1291" spans="1:3">
      <c r="A1291" s="20">
        <v>44564</v>
      </c>
      <c r="B1291" s="23">
        <v>288.75850000000003</v>
      </c>
      <c r="C1291" s="21">
        <v>4.9944240966291096</v>
      </c>
    </row>
    <row r="1292" spans="1:3">
      <c r="A1292" s="20">
        <v>44563</v>
      </c>
      <c r="B1292" s="23">
        <v>288.71199999999999</v>
      </c>
      <c r="C1292" s="21">
        <v>4.9724399714946399</v>
      </c>
    </row>
    <row r="1293" spans="1:3">
      <c r="A1293" s="20">
        <v>44562</v>
      </c>
      <c r="B1293" s="23">
        <v>288.66559999999998</v>
      </c>
      <c r="C1293" s="21">
        <v>4.9504943295620096</v>
      </c>
    </row>
    <row r="1294" spans="1:3">
      <c r="A1294" s="20">
        <v>44561</v>
      </c>
      <c r="B1294" s="23">
        <v>288.6191</v>
      </c>
      <c r="C1294" s="21">
        <v>4.9285144545278099</v>
      </c>
    </row>
    <row r="1295" spans="1:3">
      <c r="A1295" s="20">
        <v>44560</v>
      </c>
      <c r="B1295" s="23">
        <v>288.5727</v>
      </c>
      <c r="C1295" s="21">
        <v>4.9065730585631098</v>
      </c>
    </row>
    <row r="1296" spans="1:3">
      <c r="A1296" s="20">
        <v>44559</v>
      </c>
      <c r="B1296" s="23">
        <v>288.52629999999999</v>
      </c>
      <c r="C1296" s="21">
        <v>4.8846337842416201</v>
      </c>
    </row>
    <row r="1297" spans="1:3">
      <c r="A1297" s="20">
        <v>44558</v>
      </c>
      <c r="B1297" s="23">
        <v>288.47980000000001</v>
      </c>
      <c r="C1297" s="21">
        <v>4.8626221635128104</v>
      </c>
    </row>
    <row r="1298" spans="1:3">
      <c r="A1298" s="20">
        <v>44557</v>
      </c>
      <c r="B1298" s="23">
        <v>288.43340000000001</v>
      </c>
      <c r="C1298" s="21">
        <v>4.8406871431276803</v>
      </c>
    </row>
    <row r="1299" spans="1:3">
      <c r="A1299" s="20">
        <v>44556</v>
      </c>
      <c r="B1299" s="23">
        <v>288.387</v>
      </c>
      <c r="C1299" s="21">
        <v>4.8187542434608899</v>
      </c>
    </row>
    <row r="1300" spans="1:3">
      <c r="A1300" s="20">
        <v>44555</v>
      </c>
      <c r="B1300" s="23">
        <v>288.34059999999999</v>
      </c>
      <c r="C1300" s="21">
        <v>4.7968234642049099</v>
      </c>
    </row>
    <row r="1301" spans="1:3">
      <c r="A1301" s="20">
        <v>44554</v>
      </c>
      <c r="B1301" s="23">
        <v>288.29419999999999</v>
      </c>
      <c r="C1301" s="21">
        <v>4.7748567266774904</v>
      </c>
    </row>
    <row r="1302" spans="1:3">
      <c r="A1302" s="20">
        <v>44553</v>
      </c>
      <c r="B1302" s="23">
        <v>288.24790000000002</v>
      </c>
      <c r="C1302" s="21">
        <v>4.7529665384061897</v>
      </c>
    </row>
    <row r="1303" spans="1:3">
      <c r="A1303" s="20">
        <v>44552</v>
      </c>
      <c r="B1303" s="23">
        <v>288.20150000000001</v>
      </c>
      <c r="C1303" s="21">
        <v>4.7310421265887204</v>
      </c>
    </row>
    <row r="1304" spans="1:3">
      <c r="A1304" s="20">
        <v>44551</v>
      </c>
      <c r="B1304" s="23">
        <v>288.1551</v>
      </c>
      <c r="C1304" s="21">
        <v>4.7091198339509504</v>
      </c>
    </row>
    <row r="1305" spans="1:3">
      <c r="A1305" s="20">
        <v>44550</v>
      </c>
      <c r="B1305" s="23">
        <v>288.10879999999997</v>
      </c>
      <c r="C1305" s="21">
        <v>4.6871979570450399</v>
      </c>
    </row>
    <row r="1306" spans="1:3">
      <c r="A1306" s="20">
        <v>44549</v>
      </c>
      <c r="B1306" s="23">
        <v>288.06240000000003</v>
      </c>
      <c r="C1306" s="21">
        <v>4.6652799098910904</v>
      </c>
    </row>
    <row r="1307" spans="1:3">
      <c r="A1307" s="20">
        <v>44548</v>
      </c>
      <c r="B1307" s="23">
        <v>288.01609999999999</v>
      </c>
      <c r="C1307" s="21">
        <v>4.6434003134766604</v>
      </c>
    </row>
    <row r="1308" spans="1:3">
      <c r="A1308" s="20">
        <v>44547</v>
      </c>
      <c r="B1308" s="23">
        <v>287.96969999999999</v>
      </c>
      <c r="C1308" s="21">
        <v>4.6214865007733001</v>
      </c>
    </row>
    <row r="1309" spans="1:3">
      <c r="A1309" s="20">
        <v>44546</v>
      </c>
      <c r="B1309" s="23">
        <v>287.92340000000002</v>
      </c>
      <c r="C1309" s="21">
        <v>4.5995731347350297</v>
      </c>
    </row>
    <row r="1310" spans="1:3">
      <c r="A1310" s="20">
        <v>44545</v>
      </c>
      <c r="B1310" s="23">
        <v>287.87709999999998</v>
      </c>
      <c r="C1310" s="21">
        <v>4.5776998922535101</v>
      </c>
    </row>
    <row r="1311" spans="1:3">
      <c r="A1311" s="20">
        <v>44544</v>
      </c>
      <c r="B1311" s="23">
        <v>287.87610000000001</v>
      </c>
      <c r="C1311" s="21">
        <v>4.57524721076223</v>
      </c>
    </row>
    <row r="1312" spans="1:3">
      <c r="A1312" s="20">
        <v>44543</v>
      </c>
      <c r="B1312" s="23">
        <v>287.87520000000001</v>
      </c>
      <c r="C1312" s="21">
        <v>4.5728309530278999</v>
      </c>
    </row>
    <row r="1313" spans="1:3">
      <c r="A1313" s="20">
        <v>44542</v>
      </c>
      <c r="B1313" s="23">
        <v>287.87419999999997</v>
      </c>
      <c r="C1313" s="21">
        <v>4.5703404816115496</v>
      </c>
    </row>
    <row r="1314" spans="1:3">
      <c r="A1314" s="20">
        <v>44541</v>
      </c>
      <c r="B1314" s="23">
        <v>287.8732</v>
      </c>
      <c r="C1314" s="21">
        <v>4.56788809504177</v>
      </c>
    </row>
    <row r="1315" spans="1:3">
      <c r="A1315" s="20">
        <v>44540</v>
      </c>
      <c r="B1315" s="23">
        <v>287.8723</v>
      </c>
      <c r="C1315" s="21">
        <v>4.56547213002092</v>
      </c>
    </row>
    <row r="1316" spans="1:3">
      <c r="A1316" s="20">
        <v>44539</v>
      </c>
      <c r="B1316" s="23">
        <v>287.87130000000002</v>
      </c>
      <c r="C1316" s="21">
        <v>4.5630199386943202</v>
      </c>
    </row>
    <row r="1317" spans="1:3">
      <c r="A1317" s="20">
        <v>44538</v>
      </c>
      <c r="B1317" s="23">
        <v>287.87040000000002</v>
      </c>
      <c r="C1317" s="21">
        <v>4.5606041674536497</v>
      </c>
    </row>
    <row r="1318" spans="1:3">
      <c r="A1318" s="20">
        <v>44537</v>
      </c>
      <c r="B1318" s="23">
        <v>287.86939999999998</v>
      </c>
      <c r="C1318" s="21">
        <v>4.55815217134686</v>
      </c>
    </row>
    <row r="1319" spans="1:3">
      <c r="A1319" s="20">
        <v>44536</v>
      </c>
      <c r="B1319" s="23">
        <v>287.86840000000001</v>
      </c>
      <c r="C1319" s="21">
        <v>4.5557002732039997</v>
      </c>
    </row>
    <row r="1320" spans="1:3">
      <c r="A1320" s="20">
        <v>44535</v>
      </c>
      <c r="B1320" s="23">
        <v>287.86750000000001</v>
      </c>
      <c r="C1320" s="21">
        <v>4.5532847929527698</v>
      </c>
    </row>
    <row r="1321" spans="1:3">
      <c r="A1321" s="20">
        <v>44534</v>
      </c>
      <c r="B1321" s="23">
        <v>287.86649999999997</v>
      </c>
      <c r="C1321" s="21">
        <v>4.5508330899946401</v>
      </c>
    </row>
    <row r="1322" spans="1:3">
      <c r="A1322" s="20">
        <v>44533</v>
      </c>
      <c r="B1322" s="23">
        <v>287.86559999999997</v>
      </c>
      <c r="C1322" s="21">
        <v>4.5484178034654397</v>
      </c>
    </row>
    <row r="1323" spans="1:3">
      <c r="A1323" s="20">
        <v>44532</v>
      </c>
      <c r="B1323" s="23">
        <v>287.8646</v>
      </c>
      <c r="C1323" s="21">
        <v>4.5459662956686699</v>
      </c>
    </row>
    <row r="1324" spans="1:3">
      <c r="A1324" s="20">
        <v>44531</v>
      </c>
      <c r="B1324" s="23">
        <v>287.86369999999999</v>
      </c>
      <c r="C1324" s="21">
        <v>4.5435512028382501</v>
      </c>
    </row>
    <row r="1325" spans="1:3">
      <c r="A1325" s="20">
        <v>44530</v>
      </c>
      <c r="B1325" s="23">
        <v>287.86270000000002</v>
      </c>
      <c r="C1325" s="21">
        <v>4.5410619247272201</v>
      </c>
    </row>
    <row r="1326" spans="1:3">
      <c r="A1326" s="20">
        <v>44529</v>
      </c>
      <c r="B1326" s="23">
        <v>287.86169999999998</v>
      </c>
      <c r="C1326" s="21">
        <v>4.53861071163987</v>
      </c>
    </row>
    <row r="1327" spans="1:3">
      <c r="A1327" s="20">
        <v>44528</v>
      </c>
      <c r="B1327" s="23">
        <v>287.86079999999998</v>
      </c>
      <c r="C1327" s="21">
        <v>4.5361959113118901</v>
      </c>
    </row>
    <row r="1328" spans="1:3">
      <c r="A1328" s="20">
        <v>44527</v>
      </c>
      <c r="B1328" s="23">
        <v>287.85980000000001</v>
      </c>
      <c r="C1328" s="21">
        <v>4.5337448933272801</v>
      </c>
    </row>
    <row r="1329" spans="1:3">
      <c r="A1329" s="20">
        <v>44526</v>
      </c>
      <c r="B1329" s="23">
        <v>287.85890000000001</v>
      </c>
      <c r="C1329" s="21">
        <v>4.5313302866397596</v>
      </c>
    </row>
    <row r="1330" spans="1:3">
      <c r="A1330" s="20">
        <v>44525</v>
      </c>
      <c r="B1330" s="23">
        <v>287.85789999999997</v>
      </c>
      <c r="C1330" s="21">
        <v>4.5288794637345404</v>
      </c>
    </row>
    <row r="1331" spans="1:3">
      <c r="A1331" s="20">
        <v>44524</v>
      </c>
      <c r="B1331" s="23">
        <v>287.8569</v>
      </c>
      <c r="C1331" s="21">
        <v>4.5264287387228697</v>
      </c>
    </row>
    <row r="1332" spans="1:3">
      <c r="A1332" s="20">
        <v>44523</v>
      </c>
      <c r="B1332" s="23">
        <v>287.85599999999999</v>
      </c>
      <c r="C1332" s="21">
        <v>4.5240144228150596</v>
      </c>
    </row>
    <row r="1333" spans="1:3">
      <c r="A1333" s="20">
        <v>44522</v>
      </c>
      <c r="B1333" s="23">
        <v>287.85500000000002</v>
      </c>
      <c r="C1333" s="21">
        <v>4.5215638928477402</v>
      </c>
    </row>
    <row r="1334" spans="1:3">
      <c r="A1334" s="20">
        <v>44521</v>
      </c>
      <c r="B1334" s="23">
        <v>287.85410000000002</v>
      </c>
      <c r="C1334" s="21">
        <v>4.5191497705222803</v>
      </c>
    </row>
    <row r="1335" spans="1:3">
      <c r="A1335" s="20">
        <v>44520</v>
      </c>
      <c r="B1335" s="23">
        <v>287.85309999999998</v>
      </c>
      <c r="C1335" s="21">
        <v>4.5166994355759602</v>
      </c>
    </row>
    <row r="1336" spans="1:3">
      <c r="A1336" s="20">
        <v>44519</v>
      </c>
      <c r="B1336" s="23">
        <v>287.85210000000001</v>
      </c>
      <c r="C1336" s="21">
        <v>4.5142112511441699</v>
      </c>
    </row>
    <row r="1337" spans="1:3">
      <c r="A1337" s="20">
        <v>44518</v>
      </c>
      <c r="B1337" s="23">
        <v>287.85120000000001</v>
      </c>
      <c r="C1337" s="21">
        <v>4.5117974211453902</v>
      </c>
    </row>
    <row r="1338" spans="1:3">
      <c r="A1338" s="20">
        <v>44517</v>
      </c>
      <c r="B1338" s="23">
        <v>287.85019999999997</v>
      </c>
      <c r="C1338" s="21">
        <v>4.5093473806965898</v>
      </c>
    </row>
    <row r="1339" spans="1:3">
      <c r="A1339" s="20">
        <v>44516</v>
      </c>
      <c r="B1339" s="23">
        <v>287.84930000000003</v>
      </c>
      <c r="C1339" s="21">
        <v>4.5069337442218798</v>
      </c>
    </row>
    <row r="1340" spans="1:3">
      <c r="A1340" s="20">
        <v>44515</v>
      </c>
      <c r="B1340" s="23">
        <v>287.84829999999999</v>
      </c>
      <c r="C1340" s="21">
        <v>4.5044838987355202</v>
      </c>
    </row>
    <row r="1341" spans="1:3">
      <c r="A1341" s="20">
        <v>44514</v>
      </c>
      <c r="B1341" s="23">
        <v>287.81310000000002</v>
      </c>
      <c r="C1341" s="21">
        <v>4.5024793700508399</v>
      </c>
    </row>
    <row r="1342" spans="1:3">
      <c r="A1342" s="20">
        <v>44513</v>
      </c>
      <c r="B1342" s="23">
        <v>287.77789999999999</v>
      </c>
      <c r="C1342" s="21">
        <v>4.5004744279176396</v>
      </c>
    </row>
    <row r="1343" spans="1:3">
      <c r="A1343" s="20">
        <v>44512</v>
      </c>
      <c r="B1343" s="23">
        <v>287.74259999999998</v>
      </c>
      <c r="C1343" s="21">
        <v>4.4983948052702702</v>
      </c>
    </row>
    <row r="1344" spans="1:3">
      <c r="A1344" s="20">
        <v>44511</v>
      </c>
      <c r="B1344" s="23">
        <v>287.70740000000001</v>
      </c>
      <c r="C1344" s="21">
        <v>4.4963890289240904</v>
      </c>
    </row>
    <row r="1345" spans="1:3">
      <c r="A1345" s="20">
        <v>44510</v>
      </c>
      <c r="B1345" s="23">
        <v>287.67219999999998</v>
      </c>
      <c r="C1345" s="21">
        <v>4.49438283874417</v>
      </c>
    </row>
    <row r="1346" spans="1:3">
      <c r="A1346" s="20">
        <v>44509</v>
      </c>
      <c r="B1346" s="23">
        <v>287.63709999999998</v>
      </c>
      <c r="C1346" s="21">
        <v>4.49241256246576</v>
      </c>
    </row>
    <row r="1347" spans="1:3">
      <c r="A1347" s="20">
        <v>44508</v>
      </c>
      <c r="B1347" s="23">
        <v>287.6019</v>
      </c>
      <c r="C1347" s="21">
        <v>4.49036758494782</v>
      </c>
    </row>
    <row r="1348" spans="1:3">
      <c r="A1348" s="20">
        <v>44507</v>
      </c>
      <c r="B1348" s="23">
        <v>287.56670000000003</v>
      </c>
      <c r="C1348" s="21">
        <v>4.4883601530590198</v>
      </c>
    </row>
    <row r="1349" spans="1:3">
      <c r="A1349" s="20">
        <v>44506</v>
      </c>
      <c r="B1349" s="23">
        <v>287.53149999999999</v>
      </c>
      <c r="C1349" s="21">
        <v>4.48635230682408</v>
      </c>
    </row>
    <row r="1350" spans="1:3">
      <c r="A1350" s="20">
        <v>44505</v>
      </c>
      <c r="B1350" s="23">
        <v>287.49630000000002</v>
      </c>
      <c r="C1350" s="21">
        <v>4.4843060735419096</v>
      </c>
    </row>
    <row r="1351" spans="1:3">
      <c r="A1351" s="20">
        <v>44504</v>
      </c>
      <c r="B1351" s="23">
        <v>287.46109999999999</v>
      </c>
      <c r="C1351" s="21">
        <v>4.4822973950401401</v>
      </c>
    </row>
    <row r="1352" spans="1:3">
      <c r="A1352" s="20">
        <v>44503</v>
      </c>
      <c r="B1352" s="23">
        <v>287.42599999999999</v>
      </c>
      <c r="C1352" s="21">
        <v>4.4802866732073001</v>
      </c>
    </row>
    <row r="1353" spans="1:3">
      <c r="A1353" s="20">
        <v>44502</v>
      </c>
      <c r="B1353" s="23">
        <v>287.39080000000001</v>
      </c>
      <c r="C1353" s="21">
        <v>4.4782771656760803</v>
      </c>
    </row>
    <row r="1354" spans="1:3">
      <c r="A1354" s="20">
        <v>44501</v>
      </c>
      <c r="B1354" s="23">
        <v>287.35570000000001</v>
      </c>
      <c r="C1354" s="21">
        <v>4.4762656156833103</v>
      </c>
    </row>
    <row r="1355" spans="1:3">
      <c r="A1355" s="20">
        <v>44500</v>
      </c>
      <c r="B1355" s="23">
        <v>287.32049999999998</v>
      </c>
      <c r="C1355" s="21">
        <v>4.4742552786096503</v>
      </c>
    </row>
    <row r="1356" spans="1:3">
      <c r="A1356" s="20">
        <v>44499</v>
      </c>
      <c r="B1356" s="23">
        <v>287.28530000000001</v>
      </c>
      <c r="C1356" s="21">
        <v>4.4722065346290503</v>
      </c>
    </row>
    <row r="1357" spans="1:3">
      <c r="A1357" s="20">
        <v>44498</v>
      </c>
      <c r="B1357" s="23">
        <v>287.25020000000001</v>
      </c>
      <c r="C1357" s="21">
        <v>4.47023173281534</v>
      </c>
    </row>
    <row r="1358" spans="1:3">
      <c r="A1358" s="20">
        <v>44497</v>
      </c>
      <c r="B1358" s="23">
        <v>287.21510000000001</v>
      </c>
      <c r="C1358" s="21">
        <v>4.4682185249659403</v>
      </c>
    </row>
    <row r="1359" spans="1:3">
      <c r="A1359" s="20">
        <v>44496</v>
      </c>
      <c r="B1359" s="23">
        <v>287.17989999999998</v>
      </c>
      <c r="C1359" s="21">
        <v>4.4661685260545303</v>
      </c>
    </row>
    <row r="1360" spans="1:3">
      <c r="A1360" s="20">
        <v>44495</v>
      </c>
      <c r="B1360" s="23">
        <v>287.14479999999998</v>
      </c>
      <c r="C1360" s="21">
        <v>4.4641924897198297</v>
      </c>
    </row>
    <row r="1361" spans="1:3">
      <c r="A1361" s="20">
        <v>44494</v>
      </c>
      <c r="B1361" s="23">
        <v>287.10969999999998</v>
      </c>
      <c r="C1361" s="21">
        <v>4.4621780374144597</v>
      </c>
    </row>
    <row r="1362" spans="1:3">
      <c r="A1362" s="20">
        <v>44493</v>
      </c>
      <c r="B1362" s="23">
        <v>287.0745</v>
      </c>
      <c r="C1362" s="21">
        <v>4.4601267824114403</v>
      </c>
    </row>
    <row r="1363" spans="1:3">
      <c r="A1363" s="20">
        <v>44492</v>
      </c>
      <c r="B1363" s="23">
        <v>287.0394</v>
      </c>
      <c r="C1363" s="21">
        <v>4.4581114964572803</v>
      </c>
    </row>
    <row r="1364" spans="1:3">
      <c r="A1364" s="20">
        <v>44491</v>
      </c>
      <c r="B1364" s="23">
        <v>287.0043</v>
      </c>
      <c r="C1364" s="21">
        <v>4.45613381248985</v>
      </c>
    </row>
    <row r="1365" spans="1:3">
      <c r="A1365" s="20">
        <v>44490</v>
      </c>
      <c r="B1365" s="23">
        <v>286.9692</v>
      </c>
      <c r="C1365" s="21">
        <v>4.4541176993021896</v>
      </c>
    </row>
    <row r="1366" spans="1:3">
      <c r="A1366" s="20">
        <v>44489</v>
      </c>
      <c r="B1366" s="23">
        <v>286.9341</v>
      </c>
      <c r="C1366" s="21">
        <v>4.4521011707146601</v>
      </c>
    </row>
    <row r="1367" spans="1:3">
      <c r="A1367" s="20">
        <v>44488</v>
      </c>
      <c r="B1367" s="23">
        <v>286.899</v>
      </c>
      <c r="C1367" s="21">
        <v>4.45008422659886</v>
      </c>
    </row>
    <row r="1368" spans="1:3">
      <c r="A1368" s="20">
        <v>44487</v>
      </c>
      <c r="B1368" s="23">
        <v>286.8639</v>
      </c>
      <c r="C1368" s="21">
        <v>4.4480668668263403</v>
      </c>
    </row>
    <row r="1369" spans="1:3">
      <c r="A1369" s="20">
        <v>44486</v>
      </c>
      <c r="B1369" s="23">
        <v>286.8288</v>
      </c>
      <c r="C1369" s="21">
        <v>4.4460490912686002</v>
      </c>
    </row>
    <row r="1370" spans="1:3">
      <c r="A1370" s="20">
        <v>44485</v>
      </c>
      <c r="B1370" s="23">
        <v>286.7937</v>
      </c>
      <c r="C1370" s="21">
        <v>4.4440308997970801</v>
      </c>
    </row>
    <row r="1371" spans="1:3">
      <c r="A1371" s="20">
        <v>44484</v>
      </c>
      <c r="B1371" s="23">
        <v>286.7586</v>
      </c>
      <c r="C1371" s="21">
        <v>4.44201229228318</v>
      </c>
    </row>
    <row r="1372" spans="1:3">
      <c r="A1372" s="20">
        <v>44483</v>
      </c>
      <c r="B1372" s="23">
        <v>286.71570000000003</v>
      </c>
      <c r="C1372" s="21">
        <v>4.4260070985400501</v>
      </c>
    </row>
    <row r="1373" spans="1:3">
      <c r="A1373" s="20">
        <v>44482</v>
      </c>
      <c r="B1373" s="23">
        <v>286.6728</v>
      </c>
      <c r="C1373" s="21">
        <v>4.4100400488919904</v>
      </c>
    </row>
    <row r="1374" spans="1:3">
      <c r="A1374" s="20">
        <v>44481</v>
      </c>
      <c r="B1374" s="23">
        <v>286.62990000000002</v>
      </c>
      <c r="C1374" s="21">
        <v>4.3940731039210004</v>
      </c>
    </row>
    <row r="1375" spans="1:3">
      <c r="A1375" s="20">
        <v>44480</v>
      </c>
      <c r="B1375" s="23">
        <v>286.58699999999999</v>
      </c>
      <c r="C1375" s="21">
        <v>4.3781062636260399</v>
      </c>
    </row>
    <row r="1376" spans="1:3">
      <c r="A1376" s="20">
        <v>44479</v>
      </c>
      <c r="B1376" s="23">
        <v>286.54410000000001</v>
      </c>
      <c r="C1376" s="21">
        <v>4.3621395280060904</v>
      </c>
    </row>
    <row r="1377" spans="1:3">
      <c r="A1377" s="20">
        <v>44478</v>
      </c>
      <c r="B1377" s="23">
        <v>286.50119999999998</v>
      </c>
      <c r="C1377" s="21">
        <v>4.3461728970601099</v>
      </c>
    </row>
    <row r="1378" spans="1:3">
      <c r="A1378" s="20">
        <v>44477</v>
      </c>
      <c r="B1378" s="23">
        <v>286.45839999999998</v>
      </c>
      <c r="C1378" s="21">
        <v>4.3302427915179003</v>
      </c>
    </row>
    <row r="1379" spans="1:3">
      <c r="A1379" s="20">
        <v>44476</v>
      </c>
      <c r="B1379" s="23">
        <v>286.41550000000001</v>
      </c>
      <c r="C1379" s="21">
        <v>4.3142383779139699</v>
      </c>
    </row>
    <row r="1380" spans="1:3">
      <c r="A1380" s="20">
        <v>44475</v>
      </c>
      <c r="B1380" s="23">
        <v>286.37259999999998</v>
      </c>
      <c r="C1380" s="21">
        <v>4.2982720668039001</v>
      </c>
    </row>
    <row r="1381" spans="1:3">
      <c r="A1381" s="20">
        <v>44474</v>
      </c>
      <c r="B1381" s="23">
        <v>286.32979999999998</v>
      </c>
      <c r="C1381" s="21">
        <v>4.2823422807230296</v>
      </c>
    </row>
    <row r="1382" spans="1:3">
      <c r="A1382" s="20">
        <v>44473</v>
      </c>
      <c r="B1382" s="23">
        <v>286.2869</v>
      </c>
      <c r="C1382" s="21">
        <v>4.2663761788321199</v>
      </c>
    </row>
    <row r="1383" spans="1:3">
      <c r="A1383" s="20">
        <v>44472</v>
      </c>
      <c r="B1383" s="23">
        <v>286.2441</v>
      </c>
      <c r="C1383" s="21">
        <v>4.2504466017295899</v>
      </c>
    </row>
    <row r="1384" spans="1:3">
      <c r="A1384" s="20">
        <v>44471</v>
      </c>
      <c r="B1384" s="23">
        <v>286.2013</v>
      </c>
      <c r="C1384" s="21">
        <v>4.2345171290549999</v>
      </c>
    </row>
    <row r="1385" spans="1:3">
      <c r="A1385" s="20">
        <v>44470</v>
      </c>
      <c r="B1385" s="23">
        <v>286.15839999999997</v>
      </c>
      <c r="C1385" s="21">
        <v>4.2185133846659202</v>
      </c>
    </row>
    <row r="1386" spans="1:3">
      <c r="A1386" s="20">
        <v>44469</v>
      </c>
      <c r="B1386" s="23">
        <v>286.11559999999997</v>
      </c>
      <c r="C1386" s="21">
        <v>4.2025841268893203</v>
      </c>
    </row>
    <row r="1387" spans="1:3">
      <c r="A1387" s="20">
        <v>44468</v>
      </c>
      <c r="B1387" s="23">
        <v>286.07279999999997</v>
      </c>
      <c r="C1387" s="21">
        <v>4.1866549735375003</v>
      </c>
    </row>
    <row r="1388" spans="1:3">
      <c r="A1388" s="20">
        <v>44467</v>
      </c>
      <c r="B1388" s="23">
        <v>286.02999999999997</v>
      </c>
      <c r="C1388" s="21">
        <v>4.1707259246094299</v>
      </c>
    </row>
    <row r="1389" spans="1:3">
      <c r="A1389" s="20">
        <v>44466</v>
      </c>
      <c r="B1389" s="23">
        <v>285.98719999999997</v>
      </c>
      <c r="C1389" s="21">
        <v>4.1547969801040896</v>
      </c>
    </row>
    <row r="1390" spans="1:3">
      <c r="A1390" s="20">
        <v>44465</v>
      </c>
      <c r="B1390" s="23">
        <v>285.94439999999997</v>
      </c>
      <c r="C1390" s="21">
        <v>4.1388681400204499</v>
      </c>
    </row>
    <row r="1391" spans="1:3">
      <c r="A1391" s="20">
        <v>44464</v>
      </c>
      <c r="B1391" s="23">
        <v>285.90159999999997</v>
      </c>
      <c r="C1391" s="21">
        <v>4.1229394043574796</v>
      </c>
    </row>
    <row r="1392" spans="1:3">
      <c r="A1392" s="20">
        <v>44463</v>
      </c>
      <c r="B1392" s="23">
        <v>285.85879999999997</v>
      </c>
      <c r="C1392" s="21">
        <v>4.1069728583613303</v>
      </c>
    </row>
    <row r="1393" spans="1:3">
      <c r="A1393" s="20">
        <v>44462</v>
      </c>
      <c r="B1393" s="23">
        <v>285.81599999999997</v>
      </c>
      <c r="C1393" s="21">
        <v>4.0910443374619003</v>
      </c>
    </row>
    <row r="1394" spans="1:3">
      <c r="A1394" s="20">
        <v>44461</v>
      </c>
      <c r="B1394" s="23">
        <v>285.77319999999997</v>
      </c>
      <c r="C1394" s="21">
        <v>4.0751159209799903</v>
      </c>
    </row>
    <row r="1395" spans="1:3">
      <c r="A1395" s="20">
        <v>44460</v>
      </c>
      <c r="B1395" s="23">
        <v>285.73050000000001</v>
      </c>
      <c r="C1395" s="21">
        <v>4.0592240275762101</v>
      </c>
    </row>
    <row r="1396" spans="1:3">
      <c r="A1396" s="20">
        <v>44459</v>
      </c>
      <c r="B1396" s="23">
        <v>285.68770000000001</v>
      </c>
      <c r="C1396" s="21">
        <v>4.0432958198068798</v>
      </c>
    </row>
    <row r="1397" spans="1:3">
      <c r="A1397" s="20">
        <v>44458</v>
      </c>
      <c r="B1397" s="23">
        <v>285.64499999999998</v>
      </c>
      <c r="C1397" s="21">
        <v>4.0274041348749003</v>
      </c>
    </row>
    <row r="1398" spans="1:3">
      <c r="A1398" s="20">
        <v>44457</v>
      </c>
      <c r="B1398" s="23">
        <v>285.60219999999998</v>
      </c>
      <c r="C1398" s="21">
        <v>4.01143825661274</v>
      </c>
    </row>
    <row r="1399" spans="1:3">
      <c r="A1399" s="20">
        <v>44456</v>
      </c>
      <c r="B1399" s="23">
        <v>285.55950000000001</v>
      </c>
      <c r="C1399" s="21">
        <v>3.9955467860599998</v>
      </c>
    </row>
    <row r="1400" spans="1:3">
      <c r="A1400" s="20">
        <v>44455</v>
      </c>
      <c r="B1400" s="23">
        <v>285.51670000000001</v>
      </c>
      <c r="C1400" s="21">
        <v>3.97961900162825</v>
      </c>
    </row>
    <row r="1401" spans="1:3">
      <c r="A1401" s="20">
        <v>44454</v>
      </c>
      <c r="B1401" s="23">
        <v>285.47399999999999</v>
      </c>
      <c r="C1401" s="21">
        <v>3.9637277395389501</v>
      </c>
    </row>
    <row r="1402" spans="1:3">
      <c r="A1402" s="20">
        <v>44453</v>
      </c>
      <c r="B1402" s="23">
        <v>285.44459999999998</v>
      </c>
      <c r="C1402" s="21">
        <v>3.9530208674751401</v>
      </c>
    </row>
    <row r="1403" spans="1:3">
      <c r="A1403" s="20">
        <v>44452</v>
      </c>
      <c r="B1403" s="23">
        <v>285.41520000000003</v>
      </c>
      <c r="C1403" s="21">
        <v>3.94231399541134</v>
      </c>
    </row>
    <row r="1404" spans="1:3">
      <c r="A1404" s="20">
        <v>44451</v>
      </c>
      <c r="B1404" s="23">
        <v>285.38580000000002</v>
      </c>
      <c r="C1404" s="21">
        <v>3.9316071233475398</v>
      </c>
    </row>
    <row r="1405" spans="1:3">
      <c r="A1405" s="20">
        <v>44450</v>
      </c>
      <c r="B1405" s="23">
        <v>285.35629999999998</v>
      </c>
      <c r="C1405" s="21">
        <v>3.92086383335154</v>
      </c>
    </row>
    <row r="1406" spans="1:3">
      <c r="A1406" s="20">
        <v>44449</v>
      </c>
      <c r="B1406" s="23">
        <v>285.32690000000002</v>
      </c>
      <c r="C1406" s="21">
        <v>3.9101569612877398</v>
      </c>
    </row>
    <row r="1407" spans="1:3">
      <c r="A1407" s="20">
        <v>44448</v>
      </c>
      <c r="B1407" s="23">
        <v>285.29750000000001</v>
      </c>
      <c r="C1407" s="21">
        <v>3.8994500892239299</v>
      </c>
    </row>
    <row r="1408" spans="1:3">
      <c r="A1408" s="20">
        <v>44447</v>
      </c>
      <c r="B1408" s="23">
        <v>285.2681</v>
      </c>
      <c r="C1408" s="21">
        <v>3.8887432171601302</v>
      </c>
    </row>
    <row r="1409" spans="1:3">
      <c r="A1409" s="20">
        <v>44446</v>
      </c>
      <c r="B1409" s="23">
        <v>285.23869999999999</v>
      </c>
      <c r="C1409" s="21">
        <v>3.87803634509633</v>
      </c>
    </row>
    <row r="1410" spans="1:3">
      <c r="A1410" s="20">
        <v>44445</v>
      </c>
      <c r="B1410" s="23">
        <v>285.20929999999998</v>
      </c>
      <c r="C1410" s="21">
        <v>3.8673294730325201</v>
      </c>
    </row>
    <row r="1411" spans="1:3">
      <c r="A1411" s="20">
        <v>44444</v>
      </c>
      <c r="B1411" s="23">
        <v>285.17989999999998</v>
      </c>
      <c r="C1411" s="21">
        <v>3.8566226009687199</v>
      </c>
    </row>
    <row r="1412" spans="1:3">
      <c r="A1412" s="20">
        <v>44443</v>
      </c>
      <c r="B1412" s="23">
        <v>285.1506</v>
      </c>
      <c r="C1412" s="21">
        <v>3.8459521468370998</v>
      </c>
    </row>
    <row r="1413" spans="1:3">
      <c r="A1413" s="20">
        <v>44442</v>
      </c>
      <c r="B1413" s="23">
        <v>285.12119999999999</v>
      </c>
      <c r="C1413" s="21">
        <v>3.8352452747733001</v>
      </c>
    </row>
    <row r="1414" spans="1:3">
      <c r="A1414" s="20">
        <v>44441</v>
      </c>
      <c r="B1414" s="23">
        <v>285.09179999999998</v>
      </c>
      <c r="C1414" s="21">
        <v>3.8245384027094902</v>
      </c>
    </row>
    <row r="1415" spans="1:3">
      <c r="A1415" s="20">
        <v>44440</v>
      </c>
      <c r="B1415" s="23">
        <v>285.06240000000003</v>
      </c>
      <c r="C1415" s="21">
        <v>3.81383153064569</v>
      </c>
    </row>
    <row r="1416" spans="1:3">
      <c r="A1416" s="20">
        <v>44439</v>
      </c>
      <c r="B1416" s="23">
        <v>285.03300000000002</v>
      </c>
      <c r="C1416" s="21">
        <v>3.8031246585818899</v>
      </c>
    </row>
    <row r="1417" spans="1:3">
      <c r="A1417" s="20">
        <v>44438</v>
      </c>
      <c r="B1417" s="23">
        <v>285.00369999999998</v>
      </c>
      <c r="C1417" s="21">
        <v>3.7924542044502698</v>
      </c>
    </row>
    <row r="1418" spans="1:3">
      <c r="A1418" s="20">
        <v>44437</v>
      </c>
      <c r="B1418" s="23">
        <v>284.97430000000003</v>
      </c>
      <c r="C1418" s="21">
        <v>3.7817473323864701</v>
      </c>
    </row>
    <row r="1419" spans="1:3">
      <c r="A1419" s="20">
        <v>44436</v>
      </c>
      <c r="B1419" s="23">
        <v>284.94490000000002</v>
      </c>
      <c r="C1419" s="21">
        <v>3.7710404603226602</v>
      </c>
    </row>
    <row r="1420" spans="1:3">
      <c r="A1420" s="20">
        <v>44435</v>
      </c>
      <c r="B1420" s="23">
        <v>284.91550000000001</v>
      </c>
      <c r="C1420" s="21">
        <v>3.76033358825886</v>
      </c>
    </row>
    <row r="1421" spans="1:3">
      <c r="A1421" s="20">
        <v>44434</v>
      </c>
      <c r="B1421" s="23">
        <v>284.88619999999997</v>
      </c>
      <c r="C1421" s="21">
        <v>3.7496631341272399</v>
      </c>
    </row>
    <row r="1422" spans="1:3">
      <c r="A1422" s="20">
        <v>44433</v>
      </c>
      <c r="B1422" s="23">
        <v>284.85680000000002</v>
      </c>
      <c r="C1422" s="21">
        <v>3.7389562620634398</v>
      </c>
    </row>
    <row r="1423" spans="1:3">
      <c r="A1423" s="20">
        <v>44432</v>
      </c>
      <c r="B1423" s="23">
        <v>284.82749999999999</v>
      </c>
      <c r="C1423" s="21">
        <v>3.72828580793183</v>
      </c>
    </row>
    <row r="1424" spans="1:3">
      <c r="A1424" s="20">
        <v>44431</v>
      </c>
      <c r="B1424" s="23">
        <v>284.79809999999998</v>
      </c>
      <c r="C1424" s="21">
        <v>3.71757893586802</v>
      </c>
    </row>
    <row r="1425" spans="1:3">
      <c r="A1425" s="20">
        <v>44430</v>
      </c>
      <c r="B1425" s="23">
        <v>284.7688</v>
      </c>
      <c r="C1425" s="21">
        <v>3.7069084817364102</v>
      </c>
    </row>
    <row r="1426" spans="1:3">
      <c r="A1426" s="20">
        <v>44429</v>
      </c>
      <c r="B1426" s="23">
        <v>284.73939999999999</v>
      </c>
      <c r="C1426" s="21">
        <v>3.6962016096725998</v>
      </c>
    </row>
    <row r="1427" spans="1:3">
      <c r="A1427" s="20">
        <v>44428</v>
      </c>
      <c r="B1427" s="23">
        <v>284.71010000000001</v>
      </c>
      <c r="C1427" s="21">
        <v>3.68553115554099</v>
      </c>
    </row>
    <row r="1428" spans="1:3">
      <c r="A1428" s="20">
        <v>44427</v>
      </c>
      <c r="B1428" s="23">
        <v>284.6807</v>
      </c>
      <c r="C1428" s="21">
        <v>3.67482428347718</v>
      </c>
    </row>
    <row r="1429" spans="1:3">
      <c r="A1429" s="20">
        <v>44426</v>
      </c>
      <c r="B1429" s="23">
        <v>284.65140000000002</v>
      </c>
      <c r="C1429" s="21">
        <v>3.6641538293455702</v>
      </c>
    </row>
    <row r="1430" spans="1:3">
      <c r="A1430" s="20">
        <v>44425</v>
      </c>
      <c r="B1430" s="23">
        <v>284.62209999999999</v>
      </c>
      <c r="C1430" s="21">
        <v>3.6534833752139599</v>
      </c>
    </row>
    <row r="1431" spans="1:3">
      <c r="A1431" s="20">
        <v>44424</v>
      </c>
      <c r="B1431" s="23">
        <v>284.59269999999998</v>
      </c>
      <c r="C1431" s="21">
        <v>3.64277650315015</v>
      </c>
    </row>
    <row r="1432" spans="1:3">
      <c r="A1432" s="20">
        <v>44423</v>
      </c>
      <c r="B1432" s="23">
        <v>284.5634</v>
      </c>
      <c r="C1432" s="21">
        <v>3.6321060490185402</v>
      </c>
    </row>
    <row r="1433" spans="1:3">
      <c r="A1433" s="20">
        <v>44422</v>
      </c>
      <c r="B1433" s="23">
        <v>284.56799999999998</v>
      </c>
      <c r="C1433" s="21">
        <v>3.6210640232434401</v>
      </c>
    </row>
    <row r="1434" spans="1:3">
      <c r="A1434" s="20">
        <v>44421</v>
      </c>
      <c r="B1434" s="23">
        <v>284.57260000000002</v>
      </c>
      <c r="C1434" s="21">
        <v>3.6100247071442499</v>
      </c>
    </row>
    <row r="1435" spans="1:3">
      <c r="A1435" s="20">
        <v>44420</v>
      </c>
      <c r="B1435" s="23">
        <v>284.5772</v>
      </c>
      <c r="C1435" s="21">
        <v>3.5989503850141502</v>
      </c>
    </row>
    <row r="1436" spans="1:3">
      <c r="A1436" s="20">
        <v>44419</v>
      </c>
      <c r="B1436" s="23">
        <v>284.58179999999999</v>
      </c>
      <c r="C1436" s="21">
        <v>3.5879164939181001</v>
      </c>
    </row>
    <row r="1437" spans="1:3">
      <c r="A1437" s="20">
        <v>44418</v>
      </c>
      <c r="B1437" s="23">
        <v>284.58640000000003</v>
      </c>
      <c r="C1437" s="21">
        <v>3.5768853095044202</v>
      </c>
    </row>
    <row r="1438" spans="1:3">
      <c r="A1438" s="20">
        <v>44417</v>
      </c>
      <c r="B1438" s="23">
        <v>284.59100000000001</v>
      </c>
      <c r="C1438" s="21">
        <v>3.5658191420141199</v>
      </c>
    </row>
    <row r="1439" spans="1:3">
      <c r="A1439" s="20">
        <v>44416</v>
      </c>
      <c r="B1439" s="23">
        <v>284.59559999999999</v>
      </c>
      <c r="C1439" s="21">
        <v>3.55479337661161</v>
      </c>
    </row>
    <row r="1440" spans="1:3">
      <c r="A1440" s="20">
        <v>44415</v>
      </c>
      <c r="B1440" s="23">
        <v>284.60019999999997</v>
      </c>
      <c r="C1440" s="21">
        <v>3.54373264343034</v>
      </c>
    </row>
    <row r="1441" spans="1:3">
      <c r="A1441" s="20">
        <v>44414</v>
      </c>
      <c r="B1441" s="23">
        <v>284.60480000000001</v>
      </c>
      <c r="C1441" s="21">
        <v>3.5326746302297898</v>
      </c>
    </row>
    <row r="1442" spans="1:3">
      <c r="A1442" s="20">
        <v>44413</v>
      </c>
      <c r="B1442" s="23">
        <v>284.60939999999999</v>
      </c>
      <c r="C1442" s="21">
        <v>3.52165699017268</v>
      </c>
    </row>
    <row r="1443" spans="1:3">
      <c r="A1443" s="20">
        <v>44412</v>
      </c>
      <c r="B1443" s="23">
        <v>284.61399999999998</v>
      </c>
      <c r="C1443" s="21">
        <v>3.5106044052760899</v>
      </c>
    </row>
    <row r="1444" spans="1:3">
      <c r="A1444" s="20">
        <v>44411</v>
      </c>
      <c r="B1444" s="23">
        <v>284.61849999999998</v>
      </c>
      <c r="C1444" s="21">
        <v>3.4995181730576901</v>
      </c>
    </row>
    <row r="1445" spans="1:3">
      <c r="A1445" s="20">
        <v>44410</v>
      </c>
      <c r="B1445" s="23">
        <v>284.62310000000002</v>
      </c>
      <c r="C1445" s="21">
        <v>3.4885086538241299</v>
      </c>
    </row>
    <row r="1446" spans="1:3">
      <c r="A1446" s="20">
        <v>44409</v>
      </c>
      <c r="B1446" s="23">
        <v>284.6277</v>
      </c>
      <c r="C1446" s="21">
        <v>3.4774642126789401</v>
      </c>
    </row>
    <row r="1447" spans="1:3">
      <c r="A1447" s="20">
        <v>44408</v>
      </c>
      <c r="B1447" s="23">
        <v>284.63229999999999</v>
      </c>
      <c r="C1447" s="21">
        <v>3.4664224855077999</v>
      </c>
    </row>
    <row r="1448" spans="1:3">
      <c r="A1448" s="20">
        <v>44407</v>
      </c>
      <c r="B1448" s="23">
        <v>284.63690000000003</v>
      </c>
      <c r="C1448" s="21">
        <v>3.4553834713104798</v>
      </c>
    </row>
    <row r="1449" spans="1:3">
      <c r="A1449" s="20">
        <v>44406</v>
      </c>
      <c r="B1449" s="23">
        <v>284.64150000000001</v>
      </c>
      <c r="C1449" s="21">
        <v>3.4443471690872198</v>
      </c>
    </row>
    <row r="1450" spans="1:3">
      <c r="A1450" s="20">
        <v>44405</v>
      </c>
      <c r="B1450" s="23">
        <v>284.64609999999999</v>
      </c>
      <c r="C1450" s="21">
        <v>3.4333135778387698</v>
      </c>
    </row>
    <row r="1451" spans="1:3">
      <c r="A1451" s="20">
        <v>44404</v>
      </c>
      <c r="B1451" s="23">
        <v>284.65069999999997</v>
      </c>
      <c r="C1451" s="21">
        <v>3.42228269656635</v>
      </c>
    </row>
    <row r="1452" spans="1:3">
      <c r="A1452" s="20">
        <v>44403</v>
      </c>
      <c r="B1452" s="23">
        <v>284.65530000000001</v>
      </c>
      <c r="C1452" s="21">
        <v>3.4112545242716799</v>
      </c>
    </row>
    <row r="1453" spans="1:3">
      <c r="A1453" s="20">
        <v>44402</v>
      </c>
      <c r="B1453" s="23">
        <v>284.65989999999999</v>
      </c>
      <c r="C1453" s="21">
        <v>3.40022905995697</v>
      </c>
    </row>
    <row r="1454" spans="1:3">
      <c r="A1454" s="20">
        <v>44401</v>
      </c>
      <c r="B1454" s="23">
        <v>284.66449999999998</v>
      </c>
      <c r="C1454" s="21">
        <v>3.3892063026249302</v>
      </c>
    </row>
    <row r="1455" spans="1:3">
      <c r="A1455" s="20">
        <v>44400</v>
      </c>
      <c r="B1455" s="23">
        <v>284.66910000000001</v>
      </c>
      <c r="C1455" s="21">
        <v>3.3781862512787502</v>
      </c>
    </row>
    <row r="1456" spans="1:3">
      <c r="A1456" s="20">
        <v>44399</v>
      </c>
      <c r="B1456" s="23">
        <v>284.67360000000002</v>
      </c>
      <c r="C1456" s="21">
        <v>3.3671325941674</v>
      </c>
    </row>
    <row r="1457" spans="1:3">
      <c r="A1457" s="20">
        <v>44398</v>
      </c>
      <c r="B1457" s="23">
        <v>284.6782</v>
      </c>
      <c r="C1457" s="21">
        <v>3.35608043149294</v>
      </c>
    </row>
    <row r="1458" spans="1:3">
      <c r="A1458" s="20">
        <v>44397</v>
      </c>
      <c r="B1458" s="23">
        <v>284.68279999999999</v>
      </c>
      <c r="C1458" s="21">
        <v>3.3450685051849902</v>
      </c>
    </row>
    <row r="1459" spans="1:3">
      <c r="A1459" s="20">
        <v>44396</v>
      </c>
      <c r="B1459" s="23">
        <v>284.68740000000003</v>
      </c>
      <c r="C1459" s="21">
        <v>3.3340592808763598</v>
      </c>
    </row>
    <row r="1460" spans="1:3">
      <c r="A1460" s="20">
        <v>44395</v>
      </c>
      <c r="B1460" s="23">
        <v>284.69200000000001</v>
      </c>
      <c r="C1460" s="21">
        <v>3.3230152586287298</v>
      </c>
    </row>
    <row r="1461" spans="1:3">
      <c r="A1461" s="20">
        <v>44394</v>
      </c>
      <c r="B1461" s="23">
        <v>284.69659999999999</v>
      </c>
      <c r="C1461" s="21">
        <v>3.3120114439287001</v>
      </c>
    </row>
    <row r="1462" spans="1:3">
      <c r="A1462" s="20">
        <v>44393</v>
      </c>
      <c r="B1462" s="23">
        <v>284.70119999999997</v>
      </c>
      <c r="C1462" s="21">
        <v>3.3010103282432901</v>
      </c>
    </row>
    <row r="1463" spans="1:3">
      <c r="A1463" s="20">
        <v>44392</v>
      </c>
      <c r="B1463" s="23">
        <v>284.70580000000001</v>
      </c>
      <c r="C1463" s="21">
        <v>3.2899744374312001</v>
      </c>
    </row>
    <row r="1464" spans="1:3">
      <c r="A1464" s="20">
        <v>44391</v>
      </c>
      <c r="B1464" s="23">
        <v>284.6114</v>
      </c>
      <c r="C1464" s="21">
        <v>3.2446768182904799</v>
      </c>
    </row>
    <row r="1465" spans="1:3">
      <c r="A1465" s="20">
        <v>44390</v>
      </c>
      <c r="B1465" s="23">
        <v>284.517</v>
      </c>
      <c r="C1465" s="21">
        <v>3.1994263252716801</v>
      </c>
    </row>
    <row r="1466" spans="1:3">
      <c r="A1466" s="20">
        <v>44389</v>
      </c>
      <c r="B1466" s="23">
        <v>284.42259999999999</v>
      </c>
      <c r="C1466" s="21">
        <v>3.15414807029302</v>
      </c>
    </row>
    <row r="1467" spans="1:3">
      <c r="A1467" s="20">
        <v>44388</v>
      </c>
      <c r="B1467" s="23">
        <v>284.32830000000001</v>
      </c>
      <c r="C1467" s="21">
        <v>3.1089531584535801</v>
      </c>
    </row>
    <row r="1468" spans="1:3">
      <c r="A1468" s="20">
        <v>44387</v>
      </c>
      <c r="B1468" s="23">
        <v>284.23399999999998</v>
      </c>
      <c r="C1468" s="21">
        <v>3.0637305115185902</v>
      </c>
    </row>
    <row r="1469" spans="1:3">
      <c r="A1469" s="20">
        <v>44386</v>
      </c>
      <c r="B1469" s="23">
        <v>284.1397</v>
      </c>
      <c r="C1469" s="21">
        <v>3.0185175382558298</v>
      </c>
    </row>
    <row r="1470" spans="1:3">
      <c r="A1470" s="20">
        <v>44385</v>
      </c>
      <c r="B1470" s="23">
        <v>284.0455</v>
      </c>
      <c r="C1470" s="21">
        <v>2.97338781831444</v>
      </c>
    </row>
    <row r="1471" spans="1:3">
      <c r="A1471" s="20">
        <v>44384</v>
      </c>
      <c r="B1471" s="23">
        <v>283.9513</v>
      </c>
      <c r="C1471" s="21">
        <v>2.9282304073865801</v>
      </c>
    </row>
    <row r="1472" spans="1:3">
      <c r="A1472" s="20">
        <v>44383</v>
      </c>
      <c r="B1472" s="23">
        <v>283.85719999999998</v>
      </c>
      <c r="C1472" s="21">
        <v>2.8831188977559501</v>
      </c>
    </row>
    <row r="1473" spans="1:3">
      <c r="A1473" s="20">
        <v>44382</v>
      </c>
      <c r="B1473" s="23">
        <v>283.76299999999998</v>
      </c>
      <c r="C1473" s="21">
        <v>2.8379807931009098</v>
      </c>
    </row>
    <row r="1474" spans="1:3">
      <c r="A1474" s="20">
        <v>44381</v>
      </c>
      <c r="B1474" s="23">
        <v>283.66890000000001</v>
      </c>
      <c r="C1474" s="21">
        <v>2.7928885758018498</v>
      </c>
    </row>
    <row r="1475" spans="1:3">
      <c r="A1475" s="20">
        <v>44380</v>
      </c>
      <c r="B1475" s="23">
        <v>283.57490000000001</v>
      </c>
      <c r="C1475" s="21">
        <v>2.7478794598374598</v>
      </c>
    </row>
    <row r="1476" spans="1:3">
      <c r="A1476" s="20">
        <v>44379</v>
      </c>
      <c r="B1476" s="23">
        <v>283.48079999999999</v>
      </c>
      <c r="C1476" s="21">
        <v>2.7028064944451602</v>
      </c>
    </row>
    <row r="1477" spans="1:3">
      <c r="A1477" s="20">
        <v>44378</v>
      </c>
      <c r="B1477" s="23">
        <v>283.38679999999999</v>
      </c>
      <c r="C1477" s="21">
        <v>2.6577793877920701</v>
      </c>
    </row>
    <row r="1478" spans="1:3">
      <c r="A1478" s="20">
        <v>44377</v>
      </c>
      <c r="B1478" s="23">
        <v>283.2928</v>
      </c>
      <c r="C1478" s="21">
        <v>2.61276190372701</v>
      </c>
    </row>
    <row r="1479" spans="1:3">
      <c r="A1479" s="20">
        <v>44376</v>
      </c>
      <c r="B1479" s="23">
        <v>283.19889999999998</v>
      </c>
      <c r="C1479" s="21">
        <v>2.5677902567464299</v>
      </c>
    </row>
    <row r="1480" spans="1:3">
      <c r="A1480" s="20">
        <v>44375</v>
      </c>
      <c r="B1480" s="23">
        <v>283.10500000000002</v>
      </c>
      <c r="C1480" s="21">
        <v>2.5228282184483501</v>
      </c>
    </row>
    <row r="1481" spans="1:3">
      <c r="A1481" s="20">
        <v>44374</v>
      </c>
      <c r="B1481" s="23">
        <v>283.0111</v>
      </c>
      <c r="C1481" s="21">
        <v>2.4778757857536</v>
      </c>
    </row>
    <row r="1482" spans="1:3">
      <c r="A1482" s="20">
        <v>44373</v>
      </c>
      <c r="B1482" s="23">
        <v>282.91719999999998</v>
      </c>
      <c r="C1482" s="21">
        <v>2.4329329555843202</v>
      </c>
    </row>
    <row r="1483" spans="1:3">
      <c r="A1483" s="20">
        <v>44372</v>
      </c>
      <c r="B1483" s="23">
        <v>282.82339999999999</v>
      </c>
      <c r="C1483" s="21">
        <v>2.3880359269731102</v>
      </c>
    </row>
    <row r="1484" spans="1:3">
      <c r="A1484" s="20">
        <v>44371</v>
      </c>
      <c r="B1484" s="23">
        <v>282.7296</v>
      </c>
      <c r="C1484" s="21">
        <v>2.3431484870039299</v>
      </c>
    </row>
    <row r="1485" spans="1:3">
      <c r="A1485" s="20">
        <v>44370</v>
      </c>
      <c r="B1485" s="23">
        <v>282.63589999999999</v>
      </c>
      <c r="C1485" s="21">
        <v>2.2982698007608802</v>
      </c>
    </row>
    <row r="1486" spans="1:3">
      <c r="A1486" s="20">
        <v>44369</v>
      </c>
      <c r="B1486" s="23">
        <v>282.5421</v>
      </c>
      <c r="C1486" s="21">
        <v>2.2534015451896301</v>
      </c>
    </row>
    <row r="1487" spans="1:3">
      <c r="A1487" s="20">
        <v>44368</v>
      </c>
      <c r="B1487" s="23">
        <v>282.44839999999999</v>
      </c>
      <c r="C1487" s="21">
        <v>2.2085790556807399</v>
      </c>
    </row>
    <row r="1488" spans="1:3">
      <c r="A1488" s="20">
        <v>44367</v>
      </c>
      <c r="B1488" s="23">
        <v>282.35480000000001</v>
      </c>
      <c r="C1488" s="21">
        <v>2.1638023175791101</v>
      </c>
    </row>
    <row r="1489" spans="1:3">
      <c r="A1489" s="20">
        <v>44366</v>
      </c>
      <c r="B1489" s="23">
        <v>282.2611</v>
      </c>
      <c r="C1489" s="21">
        <v>2.11896201287824</v>
      </c>
    </row>
    <row r="1490" spans="1:3">
      <c r="A1490" s="20">
        <v>44365</v>
      </c>
      <c r="B1490" s="23">
        <v>282.16750000000002</v>
      </c>
      <c r="C1490" s="21">
        <v>2.07420441140136</v>
      </c>
    </row>
    <row r="1491" spans="1:3">
      <c r="A1491" s="20">
        <v>44364</v>
      </c>
      <c r="B1491" s="23">
        <v>282.07400000000001</v>
      </c>
      <c r="C1491" s="21">
        <v>2.0294925328217301</v>
      </c>
    </row>
    <row r="1492" spans="1:3">
      <c r="A1492" s="20">
        <v>44363</v>
      </c>
      <c r="B1492" s="23">
        <v>281.98039999999997</v>
      </c>
      <c r="C1492" s="21">
        <v>1.98471714272487</v>
      </c>
    </row>
    <row r="1493" spans="1:3">
      <c r="A1493" s="20">
        <v>44362</v>
      </c>
      <c r="B1493" s="23">
        <v>281.88690000000003</v>
      </c>
      <c r="C1493" s="21">
        <v>1.9400243669317101</v>
      </c>
    </row>
    <row r="1494" spans="1:3">
      <c r="A1494" s="20">
        <v>44361</v>
      </c>
      <c r="B1494" s="23">
        <v>281.83339999999998</v>
      </c>
      <c r="C1494" s="21">
        <v>1.9259110311777501</v>
      </c>
    </row>
    <row r="1495" spans="1:3">
      <c r="A1495" s="20">
        <v>44360</v>
      </c>
      <c r="B1495" s="23">
        <v>281.7799</v>
      </c>
      <c r="C1495" s="21">
        <v>1.91183310439511</v>
      </c>
    </row>
    <row r="1496" spans="1:3">
      <c r="A1496" s="20">
        <v>44359</v>
      </c>
      <c r="B1496" s="23">
        <v>281.72640000000001</v>
      </c>
      <c r="C1496" s="21">
        <v>1.89771686590982</v>
      </c>
    </row>
    <row r="1497" spans="1:3">
      <c r="A1497" s="20">
        <v>44358</v>
      </c>
      <c r="B1497" s="23">
        <v>281.673</v>
      </c>
      <c r="C1497" s="21">
        <v>1.8836722004533699</v>
      </c>
    </row>
    <row r="1498" spans="1:3">
      <c r="A1498" s="20">
        <v>44357</v>
      </c>
      <c r="B1498" s="23">
        <v>281.61950000000002</v>
      </c>
      <c r="C1498" s="21">
        <v>1.8695899092425099</v>
      </c>
    </row>
    <row r="1499" spans="1:3">
      <c r="A1499" s="20">
        <v>44356</v>
      </c>
      <c r="B1499" s="23">
        <v>281.56610000000001</v>
      </c>
      <c r="C1499" s="21">
        <v>1.8555054898624199</v>
      </c>
    </row>
    <row r="1500" spans="1:3">
      <c r="A1500" s="20">
        <v>44355</v>
      </c>
      <c r="B1500" s="23">
        <v>281.5127</v>
      </c>
      <c r="C1500" s="21">
        <v>1.8414564660980901</v>
      </c>
    </row>
    <row r="1501" spans="1:3">
      <c r="A1501" s="20">
        <v>44354</v>
      </c>
      <c r="B1501" s="23">
        <v>281.45929999999998</v>
      </c>
      <c r="C1501" s="21">
        <v>1.8273691491898001</v>
      </c>
    </row>
    <row r="1502" spans="1:3">
      <c r="A1502" s="20">
        <v>44353</v>
      </c>
      <c r="B1502" s="23">
        <v>281.40589999999997</v>
      </c>
      <c r="C1502" s="21">
        <v>1.81331722106847</v>
      </c>
    </row>
    <row r="1503" spans="1:3">
      <c r="A1503" s="20">
        <v>44352</v>
      </c>
      <c r="B1503" s="23">
        <v>281.35250000000002</v>
      </c>
      <c r="C1503" s="21">
        <v>1.79922700573631</v>
      </c>
    </row>
    <row r="1504" spans="1:3">
      <c r="A1504" s="20">
        <v>44351</v>
      </c>
      <c r="B1504" s="23">
        <v>281.29910000000001</v>
      </c>
      <c r="C1504" s="21">
        <v>1.78517217235871</v>
      </c>
    </row>
    <row r="1505" spans="1:3">
      <c r="A1505" s="20">
        <v>44350</v>
      </c>
      <c r="B1505" s="23">
        <v>281.2457</v>
      </c>
      <c r="C1505" s="21">
        <v>1.77107905770662</v>
      </c>
    </row>
    <row r="1506" spans="1:3">
      <c r="A1506" s="20">
        <v>44349</v>
      </c>
      <c r="B1506" s="23">
        <v>281.19229999999999</v>
      </c>
      <c r="C1506" s="21">
        <v>1.7570213181731</v>
      </c>
    </row>
    <row r="1507" spans="1:3">
      <c r="A1507" s="20">
        <v>44348</v>
      </c>
      <c r="B1507" s="23">
        <v>281.13900000000001</v>
      </c>
      <c r="C1507" s="21">
        <v>1.7429614928627</v>
      </c>
    </row>
    <row r="1508" spans="1:3">
      <c r="A1508" s="20">
        <v>44347</v>
      </c>
      <c r="B1508" s="23">
        <v>281.0856</v>
      </c>
      <c r="C1508" s="21">
        <v>1.7289008481461801</v>
      </c>
    </row>
    <row r="1509" spans="1:3">
      <c r="A1509" s="20">
        <v>44346</v>
      </c>
      <c r="B1509" s="23">
        <v>281.03230000000002</v>
      </c>
      <c r="C1509" s="21">
        <v>1.7148381273156901</v>
      </c>
    </row>
    <row r="1510" spans="1:3">
      <c r="A1510" s="20">
        <v>44345</v>
      </c>
      <c r="B1510" s="23">
        <v>280.97899999999998</v>
      </c>
      <c r="C1510" s="21">
        <v>1.7008107716809</v>
      </c>
    </row>
    <row r="1511" spans="1:3">
      <c r="A1511" s="20">
        <v>44344</v>
      </c>
      <c r="B1511" s="23">
        <v>280.92570000000001</v>
      </c>
      <c r="C1511" s="21">
        <v>1.6867451562951301</v>
      </c>
    </row>
    <row r="1512" spans="1:3">
      <c r="A1512" s="20">
        <v>44343</v>
      </c>
      <c r="B1512" s="23">
        <v>280.87240000000003</v>
      </c>
      <c r="C1512" s="21">
        <v>1.67271489928561</v>
      </c>
    </row>
    <row r="1513" spans="1:3">
      <c r="A1513" s="20">
        <v>44342</v>
      </c>
      <c r="B1513" s="23">
        <v>280.81909999999999</v>
      </c>
      <c r="C1513" s="21">
        <v>1.6586463884493501</v>
      </c>
    </row>
    <row r="1514" spans="1:3">
      <c r="A1514" s="20">
        <v>44341</v>
      </c>
      <c r="B1514" s="23">
        <v>280.76580000000001</v>
      </c>
      <c r="C1514" s="21">
        <v>1.64461322916629</v>
      </c>
    </row>
    <row r="1515" spans="1:3">
      <c r="A1515" s="20">
        <v>44340</v>
      </c>
      <c r="B1515" s="23">
        <v>280.71249999999998</v>
      </c>
      <c r="C1515" s="21">
        <v>1.63054182198395</v>
      </c>
    </row>
    <row r="1516" spans="1:3">
      <c r="A1516" s="20">
        <v>44339</v>
      </c>
      <c r="B1516" s="23">
        <v>280.6592</v>
      </c>
      <c r="C1516" s="21">
        <v>1.61650575952816</v>
      </c>
    </row>
    <row r="1517" spans="1:3">
      <c r="A1517" s="20">
        <v>44338</v>
      </c>
      <c r="B1517" s="23">
        <v>280.60599999999999</v>
      </c>
      <c r="C1517" s="21">
        <v>1.6024676633344199</v>
      </c>
    </row>
    <row r="1518" spans="1:3">
      <c r="A1518" s="20">
        <v>44337</v>
      </c>
      <c r="B1518" s="23">
        <v>280.55270000000002</v>
      </c>
      <c r="C1518" s="21">
        <v>1.5884286986812299</v>
      </c>
    </row>
    <row r="1519" spans="1:3">
      <c r="A1519" s="20">
        <v>44336</v>
      </c>
      <c r="B1519" s="23">
        <v>280.49950000000001</v>
      </c>
      <c r="C1519" s="21">
        <v>1.57438770994793</v>
      </c>
    </row>
    <row r="1520" spans="1:3">
      <c r="A1520" s="20">
        <v>44335</v>
      </c>
      <c r="B1520" s="23">
        <v>280.44630000000001</v>
      </c>
      <c r="C1520" s="21">
        <v>1.5603452771371999</v>
      </c>
    </row>
    <row r="1521" spans="1:3">
      <c r="A1521" s="20">
        <v>44334</v>
      </c>
      <c r="B1521" s="23">
        <v>280.3931</v>
      </c>
      <c r="C1521" s="21">
        <v>1.5463381757352599</v>
      </c>
    </row>
    <row r="1522" spans="1:3">
      <c r="A1522" s="20">
        <v>44333</v>
      </c>
      <c r="B1522" s="23">
        <v>280.3399</v>
      </c>
      <c r="C1522" s="21">
        <v>1.5322928509056699</v>
      </c>
    </row>
    <row r="1523" spans="1:3">
      <c r="A1523" s="20">
        <v>44332</v>
      </c>
      <c r="B1523" s="23">
        <v>280.2867</v>
      </c>
      <c r="C1523" s="21">
        <v>1.5182828506730299</v>
      </c>
    </row>
    <row r="1524" spans="1:3">
      <c r="A1524" s="20">
        <v>44331</v>
      </c>
      <c r="B1524" s="23">
        <v>280.23349999999999</v>
      </c>
      <c r="C1524" s="21">
        <v>1.5042346329296601</v>
      </c>
    </row>
    <row r="1525" spans="1:3">
      <c r="A1525" s="20">
        <v>44330</v>
      </c>
      <c r="B1525" s="23">
        <v>280.18599999999998</v>
      </c>
      <c r="C1525" s="21">
        <v>1.5062585973974401</v>
      </c>
    </row>
    <row r="1526" spans="1:3">
      <c r="A1526" s="20">
        <v>44329</v>
      </c>
      <c r="B1526" s="23">
        <v>280.13850000000002</v>
      </c>
      <c r="C1526" s="21">
        <v>1.5082833289851301</v>
      </c>
    </row>
    <row r="1527" spans="1:3">
      <c r="A1527" s="20">
        <v>44328</v>
      </c>
      <c r="B1527" s="23">
        <v>280.09100000000001</v>
      </c>
      <c r="C1527" s="21">
        <v>1.5102720388744999</v>
      </c>
    </row>
    <row r="1528" spans="1:3">
      <c r="A1528" s="20">
        <v>44327</v>
      </c>
      <c r="B1528" s="23">
        <v>280.04349999999999</v>
      </c>
      <c r="C1528" s="21">
        <v>1.51229829830193</v>
      </c>
    </row>
    <row r="1529" spans="1:3">
      <c r="A1529" s="20">
        <v>44326</v>
      </c>
      <c r="B1529" s="23">
        <v>279.99599999999998</v>
      </c>
      <c r="C1529" s="21">
        <v>1.5143253261556799</v>
      </c>
    </row>
    <row r="1530" spans="1:3">
      <c r="A1530" s="20">
        <v>44325</v>
      </c>
      <c r="B1530" s="23">
        <v>279.9486</v>
      </c>
      <c r="C1530" s="21">
        <v>1.5163525730054701</v>
      </c>
    </row>
    <row r="1531" spans="1:3">
      <c r="A1531" s="20">
        <v>44324</v>
      </c>
      <c r="B1531" s="23">
        <v>279.90109999999999</v>
      </c>
      <c r="C1531" s="21">
        <v>1.51838113818378</v>
      </c>
    </row>
    <row r="1532" spans="1:3">
      <c r="A1532" s="20">
        <v>44323</v>
      </c>
      <c r="B1532" s="23">
        <v>279.85359999999997</v>
      </c>
      <c r="C1532" s="21">
        <v>1.52037364530903</v>
      </c>
    </row>
    <row r="1533" spans="1:3">
      <c r="A1533" s="20">
        <v>44322</v>
      </c>
      <c r="B1533" s="23">
        <v>279.80619999999999</v>
      </c>
      <c r="C1533" s="21">
        <v>1.5224031903016699</v>
      </c>
    </row>
    <row r="1534" spans="1:3">
      <c r="A1534" s="20">
        <v>44321</v>
      </c>
      <c r="B1534" s="23">
        <v>279.75880000000001</v>
      </c>
      <c r="C1534" s="21">
        <v>1.52443350422288</v>
      </c>
    </row>
    <row r="1535" spans="1:3">
      <c r="A1535" s="20">
        <v>44320</v>
      </c>
      <c r="B1535" s="23">
        <v>279.71129999999999</v>
      </c>
      <c r="C1535" s="21">
        <v>1.5264282906464099</v>
      </c>
    </row>
    <row r="1536" spans="1:3">
      <c r="A1536" s="20">
        <v>44319</v>
      </c>
      <c r="B1536" s="23">
        <v>279.66390000000001</v>
      </c>
      <c r="C1536" s="21">
        <v>1.5284601368578501</v>
      </c>
    </row>
    <row r="1537" spans="1:3">
      <c r="A1537" s="20">
        <v>44318</v>
      </c>
      <c r="B1537" s="23">
        <v>279.61649999999997</v>
      </c>
      <c r="C1537" s="21">
        <v>1.5304927533074399</v>
      </c>
    </row>
    <row r="1538" spans="1:3">
      <c r="A1538" s="20">
        <v>44317</v>
      </c>
      <c r="B1538" s="23">
        <v>279.56909999999999</v>
      </c>
      <c r="C1538" s="21">
        <v>1.53252614043326</v>
      </c>
    </row>
    <row r="1539" spans="1:3">
      <c r="A1539" s="20">
        <v>44316</v>
      </c>
      <c r="B1539" s="23">
        <v>279.52170000000001</v>
      </c>
      <c r="C1539" s="21">
        <v>1.5345234168745601</v>
      </c>
    </row>
    <row r="1540" spans="1:3">
      <c r="A1540" s="20">
        <v>44315</v>
      </c>
      <c r="B1540" s="23">
        <v>279.47430000000003</v>
      </c>
      <c r="C1540" s="21">
        <v>1.5365583389344</v>
      </c>
    </row>
    <row r="1541" spans="1:3">
      <c r="A1541" s="20">
        <v>44314</v>
      </c>
      <c r="B1541" s="23">
        <v>279.42689999999999</v>
      </c>
      <c r="C1541" s="21">
        <v>1.53855713574006</v>
      </c>
    </row>
    <row r="1542" spans="1:3">
      <c r="A1542" s="20">
        <v>44313</v>
      </c>
      <c r="B1542" s="23">
        <v>279.37950000000001</v>
      </c>
      <c r="C1542" s="21">
        <v>1.5405935944772999</v>
      </c>
    </row>
    <row r="1543" spans="1:3">
      <c r="A1543" s="20">
        <v>44312</v>
      </c>
      <c r="B1543" s="23">
        <v>279.33210000000003</v>
      </c>
      <c r="C1543" s="21">
        <v>1.5425939133791799</v>
      </c>
    </row>
    <row r="1544" spans="1:3">
      <c r="A1544" s="20">
        <v>44311</v>
      </c>
      <c r="B1544" s="23">
        <v>279.28480000000002</v>
      </c>
      <c r="C1544" s="21">
        <v>1.5446313489300501</v>
      </c>
    </row>
    <row r="1545" spans="1:3">
      <c r="A1545" s="20">
        <v>44310</v>
      </c>
      <c r="B1545" s="23">
        <v>279.23739999999998</v>
      </c>
      <c r="C1545" s="21">
        <v>1.54663319082828</v>
      </c>
    </row>
    <row r="1546" spans="1:3">
      <c r="A1546" s="20">
        <v>44309</v>
      </c>
      <c r="B1546" s="23">
        <v>279.19009999999997</v>
      </c>
      <c r="C1546" s="21">
        <v>1.5486721640200201</v>
      </c>
    </row>
    <row r="1547" spans="1:3">
      <c r="A1547" s="20">
        <v>44308</v>
      </c>
      <c r="B1547" s="23">
        <v>279.14269999999999</v>
      </c>
      <c r="C1547" s="21">
        <v>1.55067553064935</v>
      </c>
    </row>
    <row r="1548" spans="1:3">
      <c r="A1548" s="20">
        <v>44307</v>
      </c>
      <c r="B1548" s="23">
        <v>279.09539999999998</v>
      </c>
      <c r="C1548" s="21">
        <v>1.5527160432284799</v>
      </c>
    </row>
    <row r="1549" spans="1:3">
      <c r="A1549" s="20">
        <v>44306</v>
      </c>
      <c r="B1549" s="23">
        <v>279.04809999999998</v>
      </c>
      <c r="C1549" s="21">
        <v>1.5547203705125701</v>
      </c>
    </row>
    <row r="1550" spans="1:3">
      <c r="A1550" s="20">
        <v>44305</v>
      </c>
      <c r="B1550" s="23">
        <v>279.00080000000003</v>
      </c>
      <c r="C1550" s="21">
        <v>1.55676242337764</v>
      </c>
    </row>
    <row r="1551" spans="1:3">
      <c r="A1551" s="20">
        <v>44304</v>
      </c>
      <c r="B1551" s="23">
        <v>278.95350000000002</v>
      </c>
      <c r="C1551" s="21">
        <v>1.5587682763441499</v>
      </c>
    </row>
    <row r="1552" spans="1:3">
      <c r="A1552" s="20">
        <v>44303</v>
      </c>
      <c r="B1552" s="23">
        <v>278.90620000000001</v>
      </c>
      <c r="C1552" s="21">
        <v>1.56081187124458</v>
      </c>
    </row>
    <row r="1553" spans="1:3">
      <c r="A1553" s="20">
        <v>44302</v>
      </c>
      <c r="B1553" s="23">
        <v>278.85890000000001</v>
      </c>
      <c r="C1553" s="21">
        <v>1.5628192516313799</v>
      </c>
    </row>
    <row r="1554" spans="1:3">
      <c r="A1554" s="20">
        <v>44301</v>
      </c>
      <c r="B1554" s="23">
        <v>278.8116</v>
      </c>
      <c r="C1554" s="21">
        <v>1.56482739251169</v>
      </c>
    </row>
    <row r="1555" spans="1:3">
      <c r="A1555" s="20">
        <v>44300</v>
      </c>
      <c r="B1555" s="23">
        <v>278.7543</v>
      </c>
      <c r="C1555" s="21">
        <v>1.5658201946535799</v>
      </c>
    </row>
    <row r="1556" spans="1:3">
      <c r="A1556" s="20">
        <v>44299</v>
      </c>
      <c r="B1556" s="23">
        <v>278.69690000000003</v>
      </c>
      <c r="C1556" s="21">
        <v>1.5667769810023899</v>
      </c>
    </row>
    <row r="1557" spans="1:3">
      <c r="A1557" s="20">
        <v>44298</v>
      </c>
      <c r="B1557" s="23">
        <v>278.63959999999997</v>
      </c>
      <c r="C1557" s="21">
        <v>1.5677706308918999</v>
      </c>
    </row>
    <row r="1558" spans="1:3">
      <c r="A1558" s="20">
        <v>44297</v>
      </c>
      <c r="B1558" s="23">
        <v>278.5822</v>
      </c>
      <c r="C1558" s="21">
        <v>1.56872824983274</v>
      </c>
    </row>
    <row r="1559" spans="1:3">
      <c r="A1559" s="20">
        <v>44296</v>
      </c>
      <c r="B1559" s="23">
        <v>278.5249</v>
      </c>
      <c r="C1559" s="21">
        <v>1.56972274856283</v>
      </c>
    </row>
    <row r="1560" spans="1:3">
      <c r="A1560" s="20">
        <v>44295</v>
      </c>
      <c r="B1560" s="23">
        <v>278.4676</v>
      </c>
      <c r="C1560" s="21">
        <v>1.5707176760542101</v>
      </c>
    </row>
    <row r="1561" spans="1:3">
      <c r="A1561" s="20">
        <v>44294</v>
      </c>
      <c r="B1561" s="23">
        <v>278.41030000000001</v>
      </c>
      <c r="C1561" s="21">
        <v>1.5716759764511301</v>
      </c>
    </row>
    <row r="1562" spans="1:3">
      <c r="A1562" s="20">
        <v>44293</v>
      </c>
      <c r="B1562" s="23">
        <v>278.35300000000001</v>
      </c>
      <c r="C1562" s="21">
        <v>1.5726346894815499</v>
      </c>
    </row>
    <row r="1563" spans="1:3">
      <c r="A1563" s="20">
        <v>44292</v>
      </c>
      <c r="B1563" s="23">
        <v>278.29570000000001</v>
      </c>
      <c r="C1563" s="21">
        <v>1.5736308882045</v>
      </c>
    </row>
    <row r="1564" spans="1:3">
      <c r="A1564" s="20">
        <v>44291</v>
      </c>
      <c r="B1564" s="23">
        <v>278.23849999999999</v>
      </c>
      <c r="C1564" s="21">
        <v>1.5746269419534999</v>
      </c>
    </row>
    <row r="1565" spans="1:3">
      <c r="A1565" s="20">
        <v>44290</v>
      </c>
      <c r="B1565" s="23">
        <v>278.18119999999999</v>
      </c>
      <c r="C1565" s="21">
        <v>1.5755869106885001</v>
      </c>
    </row>
    <row r="1566" spans="1:3">
      <c r="A1566" s="20">
        <v>44289</v>
      </c>
      <c r="B1566" s="23">
        <v>278.12400000000002</v>
      </c>
      <c r="C1566" s="21">
        <v>1.5765838151809</v>
      </c>
    </row>
    <row r="1567" spans="1:3">
      <c r="A1567" s="20">
        <v>44288</v>
      </c>
      <c r="B1567" s="23">
        <v>278.06670000000003</v>
      </c>
      <c r="C1567" s="21">
        <v>1.57750751328867</v>
      </c>
    </row>
    <row r="1568" spans="1:3">
      <c r="A1568" s="20">
        <v>44287</v>
      </c>
      <c r="B1568" s="23">
        <v>278.0095</v>
      </c>
      <c r="C1568" s="21">
        <v>1.57850526125793</v>
      </c>
    </row>
    <row r="1569" spans="1:3">
      <c r="A1569" s="20">
        <v>44286</v>
      </c>
      <c r="B1569" s="23">
        <v>277.95229999999998</v>
      </c>
      <c r="C1569" s="21">
        <v>1.5794663166081</v>
      </c>
    </row>
    <row r="1570" spans="1:3">
      <c r="A1570" s="20">
        <v>44285</v>
      </c>
      <c r="B1570" s="23">
        <v>277.89510000000001</v>
      </c>
      <c r="C1570" s="21">
        <v>1.5804649170198299</v>
      </c>
    </row>
    <row r="1571" spans="1:3">
      <c r="A1571" s="20">
        <v>44284</v>
      </c>
      <c r="B1571" s="23">
        <v>277.83789999999999</v>
      </c>
      <c r="C1571" s="21">
        <v>1.58142680864677</v>
      </c>
    </row>
    <row r="1572" spans="1:3">
      <c r="A1572" s="20">
        <v>44283</v>
      </c>
      <c r="B1572" s="23">
        <v>277.7808</v>
      </c>
      <c r="C1572" s="21">
        <v>1.58242568391859</v>
      </c>
    </row>
    <row r="1573" spans="1:3">
      <c r="A1573" s="20">
        <v>44282</v>
      </c>
      <c r="B1573" s="23">
        <v>277.72359999999998</v>
      </c>
      <c r="C1573" s="21">
        <v>1.58338841243082</v>
      </c>
    </row>
    <row r="1574" spans="1:3">
      <c r="A1574" s="20">
        <v>44281</v>
      </c>
      <c r="B1574" s="23">
        <v>277.66649999999998</v>
      </c>
      <c r="C1574" s="21">
        <v>1.58438814088751</v>
      </c>
    </row>
    <row r="1575" spans="1:3">
      <c r="A1575" s="20">
        <v>44280</v>
      </c>
      <c r="B1575" s="23">
        <v>277.60930000000002</v>
      </c>
      <c r="C1575" s="21">
        <v>1.5853517073707999</v>
      </c>
    </row>
    <row r="1576" spans="1:3">
      <c r="A1576" s="20">
        <v>44279</v>
      </c>
      <c r="B1576" s="23">
        <v>277.55220000000003</v>
      </c>
      <c r="C1576" s="21">
        <v>1.58631510869887</v>
      </c>
    </row>
    <row r="1577" spans="1:3">
      <c r="A1577" s="20">
        <v>44278</v>
      </c>
      <c r="B1577" s="23">
        <v>277.49509999999998</v>
      </c>
      <c r="C1577" s="21">
        <v>1.5873161145588399</v>
      </c>
    </row>
    <row r="1578" spans="1:3">
      <c r="A1578" s="20">
        <v>44277</v>
      </c>
      <c r="B1578" s="23">
        <v>277.43799999999999</v>
      </c>
      <c r="C1578" s="21">
        <v>1.5882803540382999</v>
      </c>
    </row>
    <row r="1579" spans="1:3">
      <c r="A1579" s="20">
        <v>44276</v>
      </c>
      <c r="B1579" s="23">
        <v>277.3809</v>
      </c>
      <c r="C1579" s="21">
        <v>1.5892450088191701</v>
      </c>
    </row>
    <row r="1580" spans="1:3">
      <c r="A1580" s="20">
        <v>44275</v>
      </c>
      <c r="B1580" s="23">
        <v>277.32380000000001</v>
      </c>
      <c r="C1580" s="21">
        <v>1.5902100791698199</v>
      </c>
    </row>
    <row r="1581" spans="1:3">
      <c r="A1581" s="20">
        <v>44274</v>
      </c>
      <c r="B1581" s="23">
        <v>277.26670000000001</v>
      </c>
      <c r="C1581" s="21">
        <v>1.59117556535885</v>
      </c>
    </row>
    <row r="1582" spans="1:3">
      <c r="A1582" s="20">
        <v>44273</v>
      </c>
      <c r="B1582" s="23">
        <v>277.2097</v>
      </c>
      <c r="C1582" s="21">
        <v>1.5921781157875801</v>
      </c>
    </row>
    <row r="1583" spans="1:3">
      <c r="A1583" s="20">
        <v>44272</v>
      </c>
      <c r="B1583" s="23">
        <v>277.15260000000001</v>
      </c>
      <c r="C1583" s="21">
        <v>1.5931444423591199</v>
      </c>
    </row>
    <row r="1584" spans="1:3">
      <c r="A1584" s="20">
        <v>44271</v>
      </c>
      <c r="B1584" s="23">
        <v>277.09559999999999</v>
      </c>
      <c r="C1584" s="21">
        <v>1.5941478495136201</v>
      </c>
    </row>
    <row r="1585" spans="1:3">
      <c r="A1585" s="20">
        <v>44270</v>
      </c>
      <c r="B1585" s="23">
        <v>277.03859999999997</v>
      </c>
      <c r="C1585" s="21">
        <v>1.5951144326006701</v>
      </c>
    </row>
    <row r="1586" spans="1:3">
      <c r="A1586" s="20">
        <v>44269</v>
      </c>
      <c r="B1586" s="23">
        <v>276.99810000000002</v>
      </c>
      <c r="C1586" s="21">
        <v>1.59494149081513</v>
      </c>
    </row>
    <row r="1587" spans="1:3">
      <c r="A1587" s="20">
        <v>44268</v>
      </c>
      <c r="B1587" s="23">
        <v>276.95769999999999</v>
      </c>
      <c r="C1587" s="21">
        <v>1.5948051814661299</v>
      </c>
    </row>
    <row r="1588" spans="1:3">
      <c r="A1588" s="20">
        <v>44267</v>
      </c>
      <c r="B1588" s="23">
        <v>276.91719999999998</v>
      </c>
      <c r="C1588" s="21">
        <v>1.5946321449811001</v>
      </c>
    </row>
    <row r="1589" spans="1:3">
      <c r="A1589" s="20">
        <v>44266</v>
      </c>
      <c r="B1589" s="23">
        <v>276.87670000000003</v>
      </c>
      <c r="C1589" s="21">
        <v>1.5944590584641101</v>
      </c>
    </row>
    <row r="1590" spans="1:3">
      <c r="A1590" s="20">
        <v>44265</v>
      </c>
      <c r="B1590" s="23">
        <v>276.83629999999999</v>
      </c>
      <c r="C1590" s="21">
        <v>1.59432262023201</v>
      </c>
    </row>
    <row r="1591" spans="1:3">
      <c r="A1591" s="20">
        <v>44264</v>
      </c>
      <c r="B1591" s="23">
        <v>276.79579999999999</v>
      </c>
      <c r="C1591" s="21">
        <v>1.59414943889302</v>
      </c>
    </row>
    <row r="1592" spans="1:3">
      <c r="A1592" s="20">
        <v>44263</v>
      </c>
      <c r="B1592" s="23">
        <v>276.75540000000001</v>
      </c>
      <c r="C1592" s="21">
        <v>1.5939756223266699</v>
      </c>
    </row>
    <row r="1593" spans="1:3">
      <c r="A1593" s="20">
        <v>44262</v>
      </c>
      <c r="B1593" s="23">
        <v>276.7149</v>
      </c>
      <c r="C1593" s="21">
        <v>1.59380234075377</v>
      </c>
    </row>
    <row r="1594" spans="1:3">
      <c r="A1594" s="20">
        <v>44261</v>
      </c>
      <c r="B1594" s="23">
        <v>276.67450000000002</v>
      </c>
      <c r="C1594" s="21">
        <v>1.5936657286042499</v>
      </c>
    </row>
    <row r="1595" spans="1:3">
      <c r="A1595" s="20">
        <v>44260</v>
      </c>
      <c r="B1595" s="23">
        <v>276.63409999999999</v>
      </c>
      <c r="C1595" s="21">
        <v>1.5934917668367901</v>
      </c>
    </row>
    <row r="1596" spans="1:3">
      <c r="A1596" s="20">
        <v>44259</v>
      </c>
      <c r="B1596" s="23">
        <v>276.59370000000001</v>
      </c>
      <c r="C1596" s="21">
        <v>1.5933550702519701</v>
      </c>
    </row>
    <row r="1597" spans="1:3">
      <c r="A1597" s="20">
        <v>44258</v>
      </c>
      <c r="B1597" s="23">
        <v>276.5532</v>
      </c>
      <c r="C1597" s="21">
        <v>1.5931442778612901</v>
      </c>
    </row>
    <row r="1598" spans="1:3">
      <c r="A1598" s="20">
        <v>44257</v>
      </c>
      <c r="B1598" s="23">
        <v>276.51280000000003</v>
      </c>
      <c r="C1598" s="21">
        <v>1.59297016538129</v>
      </c>
    </row>
    <row r="1599" spans="1:3">
      <c r="A1599" s="20">
        <v>44256</v>
      </c>
      <c r="B1599" s="23">
        <v>276.47239999999999</v>
      </c>
      <c r="C1599" s="21">
        <v>1.59283333400701</v>
      </c>
    </row>
    <row r="1600" spans="1:3">
      <c r="A1600" s="20">
        <v>44255</v>
      </c>
      <c r="B1600" s="23">
        <v>276.43200000000002</v>
      </c>
      <c r="C1600" s="21">
        <v>1.60733458281675</v>
      </c>
    </row>
    <row r="1601" spans="1:3">
      <c r="A1601" s="20">
        <v>44254</v>
      </c>
      <c r="B1601" s="23">
        <v>276.39159999999998</v>
      </c>
      <c r="C1601" s="21">
        <v>1.6071624197944401</v>
      </c>
    </row>
    <row r="1602" spans="1:3">
      <c r="A1602" s="20">
        <v>44253</v>
      </c>
      <c r="B1602" s="23">
        <v>276.35129999999998</v>
      </c>
      <c r="C1602" s="21">
        <v>1.6070643325769101</v>
      </c>
    </row>
    <row r="1603" spans="1:3">
      <c r="A1603" s="20">
        <v>44252</v>
      </c>
      <c r="B1603" s="23">
        <v>276.3109</v>
      </c>
      <c r="C1603" s="21">
        <v>1.6068920806748199</v>
      </c>
    </row>
    <row r="1604" spans="1:3">
      <c r="A1604" s="20">
        <v>44251</v>
      </c>
      <c r="B1604" s="23">
        <v>276.27050000000003</v>
      </c>
      <c r="C1604" s="21">
        <v>1.60671977897903</v>
      </c>
    </row>
    <row r="1605" spans="1:3">
      <c r="A1605" s="20">
        <v>44250</v>
      </c>
      <c r="B1605" s="23">
        <v>276.23009999999999</v>
      </c>
      <c r="C1605" s="21">
        <v>1.6065474274679299</v>
      </c>
    </row>
    <row r="1606" spans="1:3">
      <c r="A1606" s="20">
        <v>44249</v>
      </c>
      <c r="B1606" s="23">
        <v>276.18979999999999</v>
      </c>
      <c r="C1606" s="21">
        <v>1.60637443515696</v>
      </c>
    </row>
    <row r="1607" spans="1:3">
      <c r="A1607" s="20">
        <v>44248</v>
      </c>
      <c r="B1607" s="23">
        <v>276.14940000000001</v>
      </c>
      <c r="C1607" s="21">
        <v>1.6062019839284101</v>
      </c>
    </row>
    <row r="1608" spans="1:3">
      <c r="A1608" s="20">
        <v>44247</v>
      </c>
      <c r="B1608" s="23">
        <v>276.10910000000001</v>
      </c>
      <c r="C1608" s="21">
        <v>1.6060662820654801</v>
      </c>
    </row>
    <row r="1609" spans="1:3">
      <c r="A1609" s="20">
        <v>44246</v>
      </c>
      <c r="B1609" s="23">
        <v>276.06869999999998</v>
      </c>
      <c r="C1609" s="21">
        <v>1.6058937363777099</v>
      </c>
    </row>
    <row r="1610" spans="1:3">
      <c r="A1610" s="20">
        <v>44245</v>
      </c>
      <c r="B1610" s="23">
        <v>276.02839999999998</v>
      </c>
      <c r="C1610" s="21">
        <v>1.6057205497040099</v>
      </c>
    </row>
    <row r="1611" spans="1:3">
      <c r="A1611" s="20">
        <v>44244</v>
      </c>
      <c r="B1611" s="23">
        <v>275.988</v>
      </c>
      <c r="C1611" s="21">
        <v>1.6055479041287899</v>
      </c>
    </row>
    <row r="1612" spans="1:3">
      <c r="A1612" s="20">
        <v>44243</v>
      </c>
      <c r="B1612" s="23">
        <v>275.9477</v>
      </c>
      <c r="C1612" s="21">
        <v>1.60541202912062</v>
      </c>
    </row>
    <row r="1613" spans="1:3">
      <c r="A1613" s="20">
        <v>44242</v>
      </c>
      <c r="B1613" s="23">
        <v>275.9074</v>
      </c>
      <c r="C1613" s="21">
        <v>1.60523869777911</v>
      </c>
    </row>
    <row r="1614" spans="1:3">
      <c r="A1614" s="20">
        <v>44241</v>
      </c>
      <c r="B1614" s="23">
        <v>275.87360000000001</v>
      </c>
      <c r="C1614" s="21">
        <v>1.60128488758154</v>
      </c>
    </row>
    <row r="1615" spans="1:3">
      <c r="A1615" s="20">
        <v>44240</v>
      </c>
      <c r="B1615" s="23">
        <v>275.8399</v>
      </c>
      <c r="C1615" s="21">
        <v>1.5974046686057499</v>
      </c>
    </row>
    <row r="1616" spans="1:3">
      <c r="A1616" s="20">
        <v>44239</v>
      </c>
      <c r="B1616" s="23">
        <v>275.80610000000001</v>
      </c>
      <c r="C1616" s="21">
        <v>1.5934495407031499</v>
      </c>
    </row>
    <row r="1617" spans="1:3">
      <c r="A1617" s="20">
        <v>44238</v>
      </c>
      <c r="B1617" s="23">
        <v>275.7724</v>
      </c>
      <c r="C1617" s="21">
        <v>1.5895680132499601</v>
      </c>
    </row>
    <row r="1618" spans="1:3">
      <c r="A1618" s="20">
        <v>44237</v>
      </c>
      <c r="B1618" s="23">
        <v>275.73860000000002</v>
      </c>
      <c r="C1618" s="21">
        <v>1.5856115669809401</v>
      </c>
    </row>
    <row r="1619" spans="1:3">
      <c r="A1619" s="20">
        <v>44236</v>
      </c>
      <c r="B1619" s="23">
        <v>275.70490000000001</v>
      </c>
      <c r="C1619" s="21">
        <v>1.58169130325851</v>
      </c>
    </row>
    <row r="1620" spans="1:3">
      <c r="A1620" s="20">
        <v>44235</v>
      </c>
      <c r="B1620" s="23">
        <v>275.6712</v>
      </c>
      <c r="C1620" s="21">
        <v>1.57780781254376</v>
      </c>
    </row>
    <row r="1621" spans="1:3">
      <c r="A1621" s="20">
        <v>44234</v>
      </c>
      <c r="B1621" s="23">
        <v>275.63749999999999</v>
      </c>
      <c r="C1621" s="21">
        <v>1.5738862387214301</v>
      </c>
    </row>
    <row r="1622" spans="1:3">
      <c r="A1622" s="20">
        <v>44233</v>
      </c>
      <c r="B1622" s="23">
        <v>275.6037</v>
      </c>
      <c r="C1622" s="21">
        <v>1.5699271551441401</v>
      </c>
    </row>
    <row r="1623" spans="1:3">
      <c r="A1623" s="20">
        <v>44232</v>
      </c>
      <c r="B1623" s="23">
        <v>275.57</v>
      </c>
      <c r="C1623" s="21">
        <v>1.56604169968414</v>
      </c>
    </row>
    <row r="1624" spans="1:3">
      <c r="A1624" s="20">
        <v>44231</v>
      </c>
      <c r="B1624" s="23">
        <v>275.53629999999998</v>
      </c>
      <c r="C1624" s="21">
        <v>1.5621181555505499</v>
      </c>
    </row>
    <row r="1625" spans="1:3">
      <c r="A1625" s="20">
        <v>44230</v>
      </c>
      <c r="B1625" s="23">
        <v>275.50259999999997</v>
      </c>
      <c r="C1625" s="21">
        <v>1.5581939547825201</v>
      </c>
    </row>
    <row r="1626" spans="1:3">
      <c r="A1626" s="20">
        <v>44229</v>
      </c>
      <c r="B1626" s="23">
        <v>275.46890000000002</v>
      </c>
      <c r="C1626" s="21">
        <v>1.55426909721518</v>
      </c>
    </row>
    <row r="1627" spans="1:3">
      <c r="A1627" s="20">
        <v>44228</v>
      </c>
      <c r="B1627" s="23">
        <v>275.43520000000001</v>
      </c>
      <c r="C1627" s="21">
        <v>1.5503810233451201</v>
      </c>
    </row>
    <row r="1628" spans="1:3">
      <c r="A1628" s="20">
        <v>44227</v>
      </c>
      <c r="B1628" s="23">
        <v>275.4015</v>
      </c>
      <c r="C1628" s="21">
        <v>1.54645485337052</v>
      </c>
    </row>
    <row r="1629" spans="1:3">
      <c r="A1629" s="20">
        <v>44226</v>
      </c>
      <c r="B1629" s="23">
        <v>275.36779999999999</v>
      </c>
      <c r="C1629" s="21">
        <v>1.54252802610177</v>
      </c>
    </row>
    <row r="1630" spans="1:3">
      <c r="A1630" s="20">
        <v>44225</v>
      </c>
      <c r="B1630" s="23">
        <v>275.33409999999998</v>
      </c>
      <c r="C1630" s="21">
        <v>1.53860054137379</v>
      </c>
    </row>
    <row r="1631" spans="1:3">
      <c r="A1631" s="20">
        <v>44224</v>
      </c>
      <c r="B1631" s="23">
        <v>275.30040000000002</v>
      </c>
      <c r="C1631" s="21">
        <v>1.5346723990214599</v>
      </c>
    </row>
    <row r="1632" spans="1:3">
      <c r="A1632" s="20">
        <v>44223</v>
      </c>
      <c r="B1632" s="23">
        <v>275.26670000000001</v>
      </c>
      <c r="C1632" s="21">
        <v>1.5307435988796001</v>
      </c>
    </row>
    <row r="1633" spans="1:3">
      <c r="A1633" s="20">
        <v>44222</v>
      </c>
      <c r="B1633" s="23">
        <v>275.23309999999998</v>
      </c>
      <c r="C1633" s="21">
        <v>1.52685102837061</v>
      </c>
    </row>
    <row r="1634" spans="1:3">
      <c r="A1634" s="20">
        <v>44221</v>
      </c>
      <c r="B1634" s="23">
        <v>275.19940000000003</v>
      </c>
      <c r="C1634" s="21">
        <v>1.5229209152429299</v>
      </c>
    </row>
    <row r="1635" spans="1:3">
      <c r="A1635" s="20">
        <v>44220</v>
      </c>
      <c r="B1635" s="23">
        <v>275.16570000000002</v>
      </c>
      <c r="C1635" s="21">
        <v>1.5189901438303499</v>
      </c>
    </row>
    <row r="1636" spans="1:3">
      <c r="A1636" s="20">
        <v>44219</v>
      </c>
      <c r="B1636" s="23">
        <v>275.13209999999998</v>
      </c>
      <c r="C1636" s="21">
        <v>1.5150956108237701</v>
      </c>
    </row>
    <row r="1637" spans="1:3">
      <c r="A1637" s="20">
        <v>44218</v>
      </c>
      <c r="B1637" s="23">
        <v>275.09840000000003</v>
      </c>
      <c r="C1637" s="21">
        <v>1.5111635254356901</v>
      </c>
    </row>
    <row r="1638" spans="1:3">
      <c r="A1638" s="20">
        <v>44217</v>
      </c>
      <c r="B1638" s="23">
        <v>275.06470000000002</v>
      </c>
      <c r="C1638" s="21">
        <v>1.50723078126684</v>
      </c>
    </row>
    <row r="1639" spans="1:3">
      <c r="A1639" s="20">
        <v>44216</v>
      </c>
      <c r="B1639" s="23">
        <v>275.03109999999998</v>
      </c>
      <c r="C1639" s="21">
        <v>1.50333428428127</v>
      </c>
    </row>
    <row r="1640" spans="1:3">
      <c r="A1640" s="20">
        <v>44215</v>
      </c>
      <c r="B1640" s="23">
        <v>274.99740000000003</v>
      </c>
      <c r="C1640" s="21">
        <v>1.4994002251462499</v>
      </c>
    </row>
    <row r="1641" spans="1:3">
      <c r="A1641" s="20">
        <v>44214</v>
      </c>
      <c r="B1641" s="23">
        <v>274.96379999999999</v>
      </c>
      <c r="C1641" s="21">
        <v>1.49550241904853</v>
      </c>
    </row>
    <row r="1642" spans="1:3">
      <c r="A1642" s="20">
        <v>44213</v>
      </c>
      <c r="B1642" s="23">
        <v>274.93020000000001</v>
      </c>
      <c r="C1642" s="21">
        <v>1.4916039596942801</v>
      </c>
    </row>
    <row r="1643" spans="1:3">
      <c r="A1643" s="20">
        <v>44212</v>
      </c>
      <c r="B1643" s="23">
        <v>274.8965</v>
      </c>
      <c r="C1643" s="21">
        <v>1.4876679284179799</v>
      </c>
    </row>
    <row r="1644" spans="1:3">
      <c r="A1644" s="20">
        <v>44211</v>
      </c>
      <c r="B1644" s="23">
        <v>274.86290000000002</v>
      </c>
      <c r="C1644" s="21">
        <v>1.4837681589637099</v>
      </c>
    </row>
    <row r="1645" spans="1:3">
      <c r="A1645" s="20">
        <v>44210</v>
      </c>
      <c r="B1645" s="23">
        <v>274.87619999999998</v>
      </c>
      <c r="C1645" s="21">
        <v>1.4919763073807899</v>
      </c>
    </row>
    <row r="1646" spans="1:3">
      <c r="A1646" s="20">
        <v>44209</v>
      </c>
      <c r="B1646" s="23">
        <v>274.8895</v>
      </c>
      <c r="C1646" s="21">
        <v>1.5001475113052001</v>
      </c>
    </row>
    <row r="1647" spans="1:3">
      <c r="A1647" s="20">
        <v>44208</v>
      </c>
      <c r="B1647" s="23">
        <v>274.90280000000001</v>
      </c>
      <c r="C1647" s="21">
        <v>1.5083192402277501</v>
      </c>
    </row>
    <row r="1648" spans="1:3">
      <c r="A1648" s="20">
        <v>44207</v>
      </c>
      <c r="B1648" s="23">
        <v>274.91609999999997</v>
      </c>
      <c r="C1648" s="21">
        <v>1.51652898055162</v>
      </c>
    </row>
    <row r="1649" spans="1:3">
      <c r="A1649" s="20">
        <v>44206</v>
      </c>
      <c r="B1649" s="23">
        <v>274.92939999999999</v>
      </c>
      <c r="C1649" s="21">
        <v>1.5247017638446001</v>
      </c>
    </row>
    <row r="1650" spans="1:3">
      <c r="A1650" s="20">
        <v>44205</v>
      </c>
      <c r="B1650" s="23">
        <v>274.94279999999998</v>
      </c>
      <c r="C1650" s="21">
        <v>1.5329120010281001</v>
      </c>
    </row>
    <row r="1651" spans="1:3">
      <c r="A1651" s="20">
        <v>44204</v>
      </c>
      <c r="B1651" s="23">
        <v>274.95609999999999</v>
      </c>
      <c r="C1651" s="21">
        <v>1.54108583585903</v>
      </c>
    </row>
    <row r="1652" spans="1:3">
      <c r="A1652" s="20">
        <v>44203</v>
      </c>
      <c r="B1652" s="23">
        <v>274.96940000000001</v>
      </c>
      <c r="C1652" s="21">
        <v>1.5492976992277301</v>
      </c>
    </row>
    <row r="1653" spans="1:3">
      <c r="A1653" s="20">
        <v>44202</v>
      </c>
      <c r="B1653" s="23">
        <v>274.98270000000002</v>
      </c>
      <c r="C1653" s="21">
        <v>1.55747258883699</v>
      </c>
    </row>
    <row r="1654" spans="1:3">
      <c r="A1654" s="20">
        <v>44201</v>
      </c>
      <c r="B1654" s="23">
        <v>274.99599999999998</v>
      </c>
      <c r="C1654" s="21">
        <v>1.56564800379972</v>
      </c>
    </row>
    <row r="1655" spans="1:3">
      <c r="A1655" s="20">
        <v>44200</v>
      </c>
      <c r="B1655" s="23">
        <v>275.0093</v>
      </c>
      <c r="C1655" s="21">
        <v>1.57386146015429</v>
      </c>
    </row>
    <row r="1656" spans="1:3">
      <c r="A1656" s="20">
        <v>44199</v>
      </c>
      <c r="B1656" s="23">
        <v>275.02269999999999</v>
      </c>
      <c r="C1656" s="21">
        <v>1.5820748660889401</v>
      </c>
    </row>
    <row r="1657" spans="1:3">
      <c r="A1657" s="20">
        <v>44198</v>
      </c>
      <c r="B1657" s="23">
        <v>275.036</v>
      </c>
      <c r="C1657" s="21">
        <v>1.5902518628290001</v>
      </c>
    </row>
    <row r="1658" spans="1:3">
      <c r="A1658" s="20">
        <v>44197</v>
      </c>
      <c r="B1658" s="23">
        <v>275.04930000000002</v>
      </c>
      <c r="C1658" s="21">
        <v>1.5984669138329799</v>
      </c>
    </row>
    <row r="1659" spans="1:3">
      <c r="A1659" s="20">
        <v>44196</v>
      </c>
      <c r="B1659" s="23">
        <v>275.06259999999997</v>
      </c>
      <c r="C1659" s="21">
        <v>1.6066449659639801</v>
      </c>
    </row>
    <row r="1660" spans="1:3">
      <c r="A1660" s="20">
        <v>44195</v>
      </c>
      <c r="B1660" s="23">
        <v>275.07589999999999</v>
      </c>
      <c r="C1660" s="21">
        <v>1.61482354375343</v>
      </c>
    </row>
    <row r="1661" spans="1:3">
      <c r="A1661" s="20">
        <v>44194</v>
      </c>
      <c r="B1661" s="23">
        <v>275.08920000000001</v>
      </c>
      <c r="C1661" s="21">
        <v>1.62300264725201</v>
      </c>
    </row>
    <row r="1662" spans="1:3">
      <c r="A1662" s="20">
        <v>44193</v>
      </c>
      <c r="B1662" s="23">
        <v>275.1026</v>
      </c>
      <c r="C1662" s="21">
        <v>1.63125676519375</v>
      </c>
    </row>
    <row r="1663" spans="1:3">
      <c r="A1663" s="20">
        <v>44192</v>
      </c>
      <c r="B1663" s="23">
        <v>275.11590000000001</v>
      </c>
      <c r="C1663" s="21">
        <v>1.6394369256789301</v>
      </c>
    </row>
    <row r="1664" spans="1:3">
      <c r="A1664" s="20">
        <v>44191</v>
      </c>
      <c r="B1664" s="23">
        <v>275.12920000000003</v>
      </c>
      <c r="C1664" s="21">
        <v>1.6476176120258801</v>
      </c>
    </row>
    <row r="1665" spans="1:3">
      <c r="A1665" s="20">
        <v>44190</v>
      </c>
      <c r="B1665" s="23">
        <v>275.14249999999998</v>
      </c>
      <c r="C1665" s="21">
        <v>1.6557988242852999</v>
      </c>
    </row>
    <row r="1666" spans="1:3">
      <c r="A1666" s="20">
        <v>44189</v>
      </c>
      <c r="B1666" s="23">
        <v>275.15589999999997</v>
      </c>
      <c r="C1666" s="21">
        <v>1.6640550729146399</v>
      </c>
    </row>
    <row r="1667" spans="1:3">
      <c r="A1667" s="20">
        <v>44188</v>
      </c>
      <c r="B1667" s="23">
        <v>275.16919999999999</v>
      </c>
      <c r="C1667" s="21">
        <v>1.6722373425696</v>
      </c>
    </row>
    <row r="1668" spans="1:3">
      <c r="A1668" s="20">
        <v>44187</v>
      </c>
      <c r="B1668" s="23">
        <v>275.1825</v>
      </c>
      <c r="C1668" s="21">
        <v>1.6804201382897299</v>
      </c>
    </row>
    <row r="1669" spans="1:3">
      <c r="A1669" s="20">
        <v>44186</v>
      </c>
      <c r="B1669" s="23">
        <v>275.19580000000002</v>
      </c>
      <c r="C1669" s="21">
        <v>1.6886410354663</v>
      </c>
    </row>
    <row r="1670" spans="1:3">
      <c r="A1670" s="20">
        <v>44185</v>
      </c>
      <c r="B1670" s="23">
        <v>275.20920000000001</v>
      </c>
      <c r="C1670" s="21">
        <v>1.6968618402673601</v>
      </c>
    </row>
    <row r="1671" spans="1:3">
      <c r="A1671" s="20">
        <v>44184</v>
      </c>
      <c r="B1671" s="23">
        <v>275.22250000000003</v>
      </c>
      <c r="C1671" s="21">
        <v>1.7050462199081</v>
      </c>
    </row>
    <row r="1672" spans="1:3">
      <c r="A1672" s="20">
        <v>44183</v>
      </c>
      <c r="B1672" s="23">
        <v>275.23579999999998</v>
      </c>
      <c r="C1672" s="21">
        <v>1.7132311258175399</v>
      </c>
    </row>
    <row r="1673" spans="1:3">
      <c r="A1673" s="20">
        <v>44182</v>
      </c>
      <c r="B1673" s="23">
        <v>275.2491</v>
      </c>
      <c r="C1673" s="21">
        <v>1.72145415035977</v>
      </c>
    </row>
    <row r="1674" spans="1:3">
      <c r="A1674" s="20">
        <v>44181</v>
      </c>
      <c r="B1674" s="23">
        <v>275.26249999999999</v>
      </c>
      <c r="C1674" s="21">
        <v>1.7296770705253099</v>
      </c>
    </row>
    <row r="1675" spans="1:3">
      <c r="A1675" s="20">
        <v>44180</v>
      </c>
      <c r="B1675" s="23">
        <v>275.2758</v>
      </c>
      <c r="C1675" s="21">
        <v>1.73786356096825</v>
      </c>
    </row>
    <row r="1676" spans="1:3">
      <c r="A1676" s="20">
        <v>44179</v>
      </c>
      <c r="B1676" s="23">
        <v>275.28129999999999</v>
      </c>
      <c r="C1676" s="21">
        <v>1.74531119252275</v>
      </c>
    </row>
    <row r="1677" spans="1:3">
      <c r="A1677" s="20">
        <v>44178</v>
      </c>
      <c r="B1677" s="23">
        <v>275.28680000000003</v>
      </c>
      <c r="C1677" s="21">
        <v>1.75275961689155</v>
      </c>
    </row>
    <row r="1678" spans="1:3">
      <c r="A1678" s="20">
        <v>44177</v>
      </c>
      <c r="B1678" s="23">
        <v>275.29239999999999</v>
      </c>
      <c r="C1678" s="21">
        <v>1.7602457986237401</v>
      </c>
    </row>
    <row r="1679" spans="1:3">
      <c r="A1679" s="20">
        <v>44176</v>
      </c>
      <c r="B1679" s="23">
        <v>275.29790000000003</v>
      </c>
      <c r="C1679" s="21">
        <v>1.76769581096867</v>
      </c>
    </row>
    <row r="1680" spans="1:3">
      <c r="A1680" s="20">
        <v>44175</v>
      </c>
      <c r="B1680" s="23">
        <v>275.30340000000001</v>
      </c>
      <c r="C1680" s="21">
        <v>1.7751842411225101</v>
      </c>
    </row>
    <row r="1681" spans="1:3">
      <c r="A1681" s="20">
        <v>44174</v>
      </c>
      <c r="B1681" s="23">
        <v>275.30889999999999</v>
      </c>
      <c r="C1681" s="21">
        <v>1.7826358447408399</v>
      </c>
    </row>
    <row r="1682" spans="1:3">
      <c r="A1682" s="20">
        <v>44173</v>
      </c>
      <c r="B1682" s="23">
        <v>275.31439999999998</v>
      </c>
      <c r="C1682" s="21">
        <v>1.7900882418077699</v>
      </c>
    </row>
    <row r="1683" spans="1:3">
      <c r="A1683" s="20">
        <v>44172</v>
      </c>
      <c r="B1683" s="23">
        <v>275.31990000000002</v>
      </c>
      <c r="C1683" s="21">
        <v>1.7975414324500301</v>
      </c>
    </row>
    <row r="1684" spans="1:3">
      <c r="A1684" s="20">
        <v>44171</v>
      </c>
      <c r="B1684" s="23">
        <v>275.3254</v>
      </c>
      <c r="C1684" s="21">
        <v>1.80499541679439</v>
      </c>
    </row>
    <row r="1685" spans="1:3">
      <c r="A1685" s="20">
        <v>44170</v>
      </c>
      <c r="B1685" s="23">
        <v>275.33089999999999</v>
      </c>
      <c r="C1685" s="21">
        <v>1.8124501949676299</v>
      </c>
    </row>
    <row r="1686" spans="1:3">
      <c r="A1686" s="20">
        <v>44169</v>
      </c>
      <c r="B1686" s="23">
        <v>275.33640000000003</v>
      </c>
      <c r="C1686" s="21">
        <v>1.8199057670965899</v>
      </c>
    </row>
    <row r="1687" spans="1:3">
      <c r="A1687" s="20">
        <v>44168</v>
      </c>
      <c r="B1687" s="23">
        <v>275.34190000000001</v>
      </c>
      <c r="C1687" s="21">
        <v>1.8273621333080901</v>
      </c>
    </row>
    <row r="1688" spans="1:3">
      <c r="A1688" s="20">
        <v>44167</v>
      </c>
      <c r="B1688" s="23">
        <v>275.34739999999999</v>
      </c>
      <c r="C1688" s="21">
        <v>1.8348569564571</v>
      </c>
    </row>
    <row r="1689" spans="1:3">
      <c r="A1689" s="20">
        <v>44166</v>
      </c>
      <c r="B1689" s="23">
        <v>275.35289999999998</v>
      </c>
      <c r="C1689" s="21">
        <v>1.84231491597866</v>
      </c>
    </row>
    <row r="1690" spans="1:3">
      <c r="A1690" s="20">
        <v>44165</v>
      </c>
      <c r="B1690" s="23">
        <v>275.35849999999999</v>
      </c>
      <c r="C1690" s="21">
        <v>1.84981065804006</v>
      </c>
    </row>
    <row r="1691" spans="1:3">
      <c r="A1691" s="20">
        <v>44164</v>
      </c>
      <c r="B1691" s="23">
        <v>275.36399999999998</v>
      </c>
      <c r="C1691" s="21">
        <v>1.85727020858687</v>
      </c>
    </row>
    <row r="1692" spans="1:3">
      <c r="A1692" s="20">
        <v>44163</v>
      </c>
      <c r="B1692" s="23">
        <v>275.36950000000002</v>
      </c>
      <c r="C1692" s="21">
        <v>1.8647305538518699</v>
      </c>
    </row>
    <row r="1693" spans="1:3">
      <c r="A1693" s="20">
        <v>44162</v>
      </c>
      <c r="B1693" s="23">
        <v>275.375</v>
      </c>
      <c r="C1693" s="21">
        <v>1.87219169396206</v>
      </c>
    </row>
    <row r="1694" spans="1:3">
      <c r="A1694" s="20">
        <v>44161</v>
      </c>
      <c r="B1694" s="23">
        <v>275.38049999999998</v>
      </c>
      <c r="C1694" s="21">
        <v>1.8796536290444901</v>
      </c>
    </row>
    <row r="1695" spans="1:3">
      <c r="A1695" s="20">
        <v>44160</v>
      </c>
      <c r="B1695" s="23">
        <v>275.38600000000002</v>
      </c>
      <c r="C1695" s="21">
        <v>1.8871163592262099</v>
      </c>
    </row>
    <row r="1696" spans="1:3">
      <c r="A1696" s="20">
        <v>44159</v>
      </c>
      <c r="B1696" s="23">
        <v>275.39150000000001</v>
      </c>
      <c r="C1696" s="21">
        <v>1.89457988463431</v>
      </c>
    </row>
    <row r="1697" spans="1:3">
      <c r="A1697" s="20">
        <v>44158</v>
      </c>
      <c r="B1697" s="23">
        <v>275.39699999999999</v>
      </c>
      <c r="C1697" s="21">
        <v>1.9020442053959099</v>
      </c>
    </row>
    <row r="1698" spans="1:3">
      <c r="A1698" s="20">
        <v>44157</v>
      </c>
      <c r="B1698" s="23">
        <v>275.40249999999997</v>
      </c>
      <c r="C1698" s="21">
        <v>1.90950932163815</v>
      </c>
    </row>
    <row r="1699" spans="1:3">
      <c r="A1699" s="20">
        <v>44156</v>
      </c>
      <c r="B1699" s="23">
        <v>275.40800000000002</v>
      </c>
      <c r="C1699" s="21">
        <v>1.91697523348819</v>
      </c>
    </row>
    <row r="1700" spans="1:3">
      <c r="A1700" s="20">
        <v>44155</v>
      </c>
      <c r="B1700" s="23">
        <v>275.4135</v>
      </c>
      <c r="C1700" s="21">
        <v>1.9244419410732401</v>
      </c>
    </row>
    <row r="1701" spans="1:3">
      <c r="A1701" s="20">
        <v>44154</v>
      </c>
      <c r="B1701" s="23">
        <v>275.41910000000001</v>
      </c>
      <c r="C1701" s="21">
        <v>1.93194645427999</v>
      </c>
    </row>
    <row r="1702" spans="1:3">
      <c r="A1702" s="20">
        <v>44153</v>
      </c>
      <c r="B1702" s="23">
        <v>275.4246</v>
      </c>
      <c r="C1702" s="21">
        <v>1.93941475568926</v>
      </c>
    </row>
    <row r="1703" spans="1:3">
      <c r="A1703" s="20">
        <v>44152</v>
      </c>
      <c r="B1703" s="23">
        <v>275.43009999999998</v>
      </c>
      <c r="C1703" s="21">
        <v>1.94688385321549</v>
      </c>
    </row>
    <row r="1704" spans="1:3">
      <c r="A1704" s="20">
        <v>44151</v>
      </c>
      <c r="B1704" s="23">
        <v>275.43560000000002</v>
      </c>
      <c r="C1704" s="21">
        <v>1.954353746986</v>
      </c>
    </row>
    <row r="1705" spans="1:3">
      <c r="A1705" s="20">
        <v>44150</v>
      </c>
      <c r="B1705" s="23">
        <v>275.44110000000001</v>
      </c>
      <c r="C1705" s="21">
        <v>1.9618244371281099</v>
      </c>
    </row>
    <row r="1706" spans="1:3">
      <c r="A1706" s="20">
        <v>44149</v>
      </c>
      <c r="B1706" s="23">
        <v>275.41269999999997</v>
      </c>
      <c r="C1706" s="21">
        <v>1.95885997925377</v>
      </c>
    </row>
    <row r="1707" spans="1:3">
      <c r="A1707" s="20">
        <v>44148</v>
      </c>
      <c r="B1707" s="23">
        <v>275.3843</v>
      </c>
      <c r="C1707" s="21">
        <v>1.95589508236536</v>
      </c>
    </row>
    <row r="1708" spans="1:3">
      <c r="A1708" s="20">
        <v>44147</v>
      </c>
      <c r="B1708" s="23">
        <v>275.35599999999999</v>
      </c>
      <c r="C1708" s="21">
        <v>1.9530045212311999</v>
      </c>
    </row>
    <row r="1709" spans="1:3">
      <c r="A1709" s="20">
        <v>44146</v>
      </c>
      <c r="B1709" s="23">
        <v>275.32760000000002</v>
      </c>
      <c r="C1709" s="21">
        <v>1.95003875046147</v>
      </c>
    </row>
    <row r="1710" spans="1:3">
      <c r="A1710" s="20">
        <v>44145</v>
      </c>
      <c r="B1710" s="23">
        <v>275.29919999999998</v>
      </c>
      <c r="C1710" s="21">
        <v>1.94707254038549</v>
      </c>
    </row>
    <row r="1711" spans="1:3">
      <c r="A1711" s="20">
        <v>44144</v>
      </c>
      <c r="B1711" s="23">
        <v>275.27080000000001</v>
      </c>
      <c r="C1711" s="21">
        <v>1.9441058909056399</v>
      </c>
    </row>
    <row r="1712" spans="1:3">
      <c r="A1712" s="20">
        <v>44143</v>
      </c>
      <c r="B1712" s="23">
        <v>275.24250000000001</v>
      </c>
      <c r="C1712" s="21">
        <v>1.941175838783</v>
      </c>
    </row>
    <row r="1713" spans="1:3">
      <c r="A1713" s="20">
        <v>44142</v>
      </c>
      <c r="B1713" s="23">
        <v>275.21409999999997</v>
      </c>
      <c r="C1713" s="21">
        <v>1.9382083129461201</v>
      </c>
    </row>
    <row r="1714" spans="1:3">
      <c r="A1714" s="20">
        <v>44141</v>
      </c>
      <c r="B1714" s="23">
        <v>275.1857</v>
      </c>
      <c r="C1714" s="21">
        <v>1.93524034741276</v>
      </c>
    </row>
    <row r="1715" spans="1:3">
      <c r="A1715" s="20">
        <v>44140</v>
      </c>
      <c r="B1715" s="23">
        <v>275.1574</v>
      </c>
      <c r="C1715" s="21">
        <v>1.9323089871760999</v>
      </c>
    </row>
    <row r="1716" spans="1:3">
      <c r="A1716" s="20">
        <v>44139</v>
      </c>
      <c r="B1716" s="23">
        <v>275.12900000000002</v>
      </c>
      <c r="C1716" s="21">
        <v>1.92934014470144</v>
      </c>
    </row>
    <row r="1717" spans="1:3">
      <c r="A1717" s="20">
        <v>44138</v>
      </c>
      <c r="B1717" s="23">
        <v>275.10070000000002</v>
      </c>
      <c r="C1717" s="21">
        <v>1.9264079128185001</v>
      </c>
    </row>
    <row r="1718" spans="1:3">
      <c r="A1718" s="20">
        <v>44137</v>
      </c>
      <c r="B1718" s="23">
        <v>275.07229999999998</v>
      </c>
      <c r="C1718" s="21">
        <v>1.923438193013</v>
      </c>
    </row>
    <row r="1719" spans="1:3">
      <c r="A1719" s="20">
        <v>44136</v>
      </c>
      <c r="B1719" s="23">
        <v>275.04399999999998</v>
      </c>
      <c r="C1719" s="21">
        <v>1.92050508909577</v>
      </c>
    </row>
    <row r="1720" spans="1:3">
      <c r="A1720" s="20">
        <v>44135</v>
      </c>
      <c r="B1720" s="23">
        <v>275.01560000000001</v>
      </c>
      <c r="C1720" s="21">
        <v>1.9175344915696699</v>
      </c>
    </row>
    <row r="1721" spans="1:3">
      <c r="A1721" s="20">
        <v>44134</v>
      </c>
      <c r="B1721" s="23">
        <v>274.9873</v>
      </c>
      <c r="C1721" s="21">
        <v>1.9146005152298899</v>
      </c>
    </row>
    <row r="1722" spans="1:3">
      <c r="A1722" s="20">
        <v>44133</v>
      </c>
      <c r="B1722" s="23">
        <v>274.95890000000003</v>
      </c>
      <c r="C1722" s="21">
        <v>1.9116290395932101</v>
      </c>
    </row>
    <row r="1723" spans="1:3">
      <c r="A1723" s="20">
        <v>44132</v>
      </c>
      <c r="B1723" s="23">
        <v>274.93060000000003</v>
      </c>
      <c r="C1723" s="21">
        <v>1.90869419044241</v>
      </c>
    </row>
    <row r="1724" spans="1:3">
      <c r="A1724" s="20">
        <v>44131</v>
      </c>
      <c r="B1724" s="23">
        <v>274.90230000000003</v>
      </c>
      <c r="C1724" s="21">
        <v>1.90575890611441</v>
      </c>
    </row>
    <row r="1725" spans="1:3">
      <c r="A1725" s="20">
        <v>44130</v>
      </c>
      <c r="B1725" s="23">
        <v>274.87389999999999</v>
      </c>
      <c r="C1725" s="21">
        <v>1.90278611395437</v>
      </c>
    </row>
    <row r="1726" spans="1:3">
      <c r="A1726" s="20">
        <v>44129</v>
      </c>
      <c r="B1726" s="23">
        <v>274.84559999999999</v>
      </c>
      <c r="C1726" s="21">
        <v>1.8998499562325999</v>
      </c>
    </row>
    <row r="1727" spans="1:3">
      <c r="A1727" s="20">
        <v>44128</v>
      </c>
      <c r="B1727" s="23">
        <v>274.81729999999999</v>
      </c>
      <c r="C1727" s="21">
        <v>1.8969133630427399</v>
      </c>
    </row>
    <row r="1728" spans="1:3">
      <c r="A1728" s="20">
        <v>44127</v>
      </c>
      <c r="B1728" s="23">
        <v>274.78899999999999</v>
      </c>
      <c r="C1728" s="21">
        <v>1.8939763342879199</v>
      </c>
    </row>
    <row r="1729" spans="1:3">
      <c r="A1729" s="20">
        <v>44126</v>
      </c>
      <c r="B1729" s="23">
        <v>274.76060000000001</v>
      </c>
      <c r="C1729" s="21">
        <v>1.89096400152191</v>
      </c>
    </row>
    <row r="1730" spans="1:3">
      <c r="A1730" s="20">
        <v>44125</v>
      </c>
      <c r="B1730" s="23">
        <v>274.73230000000001</v>
      </c>
      <c r="C1730" s="21">
        <v>1.88802609688275</v>
      </c>
    </row>
    <row r="1731" spans="1:3">
      <c r="A1731" s="20">
        <v>44124</v>
      </c>
      <c r="B1731" s="23">
        <v>274.70400000000001</v>
      </c>
      <c r="C1731" s="21">
        <v>1.8850877563872901</v>
      </c>
    </row>
    <row r="1732" spans="1:3">
      <c r="A1732" s="20">
        <v>44123</v>
      </c>
      <c r="B1732" s="23">
        <v>274.67570000000001</v>
      </c>
      <c r="C1732" s="21">
        <v>1.88214897993853</v>
      </c>
    </row>
    <row r="1733" spans="1:3">
      <c r="A1733" s="20">
        <v>44122</v>
      </c>
      <c r="B1733" s="23">
        <v>274.6474</v>
      </c>
      <c r="C1733" s="21">
        <v>1.8792097674394499</v>
      </c>
    </row>
    <row r="1734" spans="1:3">
      <c r="A1734" s="20">
        <v>44121</v>
      </c>
      <c r="B1734" s="23">
        <v>274.6191</v>
      </c>
      <c r="C1734" s="21">
        <v>1.87623232546191</v>
      </c>
    </row>
    <row r="1735" spans="1:3">
      <c r="A1735" s="20">
        <v>44120</v>
      </c>
      <c r="B1735" s="23">
        <v>274.5908</v>
      </c>
      <c r="C1735" s="21">
        <v>1.87329223885747</v>
      </c>
    </row>
    <row r="1736" spans="1:3">
      <c r="A1736" s="20">
        <v>44119</v>
      </c>
      <c r="B1736" s="23">
        <v>274.5625</v>
      </c>
      <c r="C1736" s="21">
        <v>1.8703517159113501</v>
      </c>
    </row>
    <row r="1737" spans="1:3">
      <c r="A1737" s="20">
        <v>44118</v>
      </c>
      <c r="B1737" s="23">
        <v>274.56349999999998</v>
      </c>
      <c r="C1737" s="21">
        <v>1.87378438326258</v>
      </c>
    </row>
    <row r="1738" spans="1:3">
      <c r="A1738" s="20">
        <v>44117</v>
      </c>
      <c r="B1738" s="23">
        <v>274.56439999999998</v>
      </c>
      <c r="C1738" s="21">
        <v>1.87718015193022</v>
      </c>
    </row>
    <row r="1739" spans="1:3">
      <c r="A1739" s="20">
        <v>44116</v>
      </c>
      <c r="B1739" s="23">
        <v>274.56529999999998</v>
      </c>
      <c r="C1739" s="21">
        <v>1.8805761247241199</v>
      </c>
    </row>
    <row r="1740" spans="1:3">
      <c r="A1740" s="20">
        <v>44115</v>
      </c>
      <c r="B1740" s="23">
        <v>274.56619999999998</v>
      </c>
      <c r="C1740" s="21">
        <v>1.8839723016626599</v>
      </c>
    </row>
    <row r="1741" spans="1:3">
      <c r="A1741" s="20">
        <v>44114</v>
      </c>
      <c r="B1741" s="23">
        <v>274.56709999999998</v>
      </c>
      <c r="C1741" s="21">
        <v>1.8873686827642799</v>
      </c>
    </row>
    <row r="1742" spans="1:3">
      <c r="A1742" s="20">
        <v>44113</v>
      </c>
      <c r="B1742" s="23">
        <v>274.56799999999998</v>
      </c>
      <c r="C1742" s="21">
        <v>1.89072745692518</v>
      </c>
    </row>
    <row r="1743" spans="1:3">
      <c r="A1743" s="20">
        <v>44112</v>
      </c>
      <c r="B1743" s="23">
        <v>274.56889999999999</v>
      </c>
      <c r="C1743" s="21">
        <v>1.894124244011</v>
      </c>
    </row>
    <row r="1744" spans="1:3">
      <c r="A1744" s="20">
        <v>44111</v>
      </c>
      <c r="B1744" s="23">
        <v>274.56990000000002</v>
      </c>
      <c r="C1744" s="21">
        <v>1.89755834701518</v>
      </c>
    </row>
    <row r="1745" spans="1:3">
      <c r="A1745" s="20">
        <v>44110</v>
      </c>
      <c r="B1745" s="23">
        <v>274.57080000000002</v>
      </c>
      <c r="C1745" s="21">
        <v>1.90095554367121</v>
      </c>
    </row>
    <row r="1746" spans="1:3">
      <c r="A1746" s="20">
        <v>44109</v>
      </c>
      <c r="B1746" s="23">
        <v>274.57170000000002</v>
      </c>
      <c r="C1746" s="21">
        <v>1.90435294458222</v>
      </c>
    </row>
    <row r="1747" spans="1:3">
      <c r="A1747" s="20">
        <v>44108</v>
      </c>
      <c r="B1747" s="23">
        <v>274.57260000000002</v>
      </c>
      <c r="C1747" s="21">
        <v>1.9077127266707901</v>
      </c>
    </row>
    <row r="1748" spans="1:3">
      <c r="A1748" s="20">
        <v>44107</v>
      </c>
      <c r="B1748" s="23">
        <v>274.57350000000002</v>
      </c>
      <c r="C1748" s="21">
        <v>1.9111105337487899</v>
      </c>
    </row>
    <row r="1749" spans="1:3">
      <c r="A1749" s="20">
        <v>44106</v>
      </c>
      <c r="B1749" s="23">
        <v>274.57440000000003</v>
      </c>
      <c r="C1749" s="21">
        <v>1.91450854513682</v>
      </c>
    </row>
    <row r="1750" spans="1:3">
      <c r="A1750" s="20">
        <v>44105</v>
      </c>
      <c r="B1750" s="23">
        <v>274.5754</v>
      </c>
      <c r="C1750" s="21">
        <v>1.9179438792346</v>
      </c>
    </row>
    <row r="1751" spans="1:3">
      <c r="A1751" s="20">
        <v>44104</v>
      </c>
      <c r="B1751" s="23">
        <v>274.5763</v>
      </c>
      <c r="C1751" s="21">
        <v>1.92134230041403</v>
      </c>
    </row>
    <row r="1752" spans="1:3">
      <c r="A1752" s="20">
        <v>44103</v>
      </c>
      <c r="B1752" s="23">
        <v>274.5772</v>
      </c>
      <c r="C1752" s="21">
        <v>1.9247030908838501</v>
      </c>
    </row>
    <row r="1753" spans="1:3">
      <c r="A1753" s="20">
        <v>44102</v>
      </c>
      <c r="B1753" s="23">
        <v>274.57810000000001</v>
      </c>
      <c r="C1753" s="21">
        <v>1.92810191841315</v>
      </c>
    </row>
    <row r="1754" spans="1:3">
      <c r="A1754" s="20">
        <v>44101</v>
      </c>
      <c r="B1754" s="23">
        <v>274.57900000000001</v>
      </c>
      <c r="C1754" s="21">
        <v>1.9315009503445</v>
      </c>
    </row>
    <row r="1755" spans="1:3">
      <c r="A1755" s="20">
        <v>44100</v>
      </c>
      <c r="B1755" s="23">
        <v>274.57990000000001</v>
      </c>
      <c r="C1755" s="21">
        <v>1.93490018669634</v>
      </c>
    </row>
    <row r="1756" spans="1:3">
      <c r="A1756" s="20">
        <v>44099</v>
      </c>
      <c r="B1756" s="23">
        <v>274.58080000000001</v>
      </c>
      <c r="C1756" s="21">
        <v>1.9382617828414701</v>
      </c>
    </row>
    <row r="1757" spans="1:3">
      <c r="A1757" s="20">
        <v>44098</v>
      </c>
      <c r="B1757" s="23">
        <v>274.58179999999999</v>
      </c>
      <c r="C1757" s="21">
        <v>1.94169855185672</v>
      </c>
    </row>
    <row r="1758" spans="1:3">
      <c r="A1758" s="20">
        <v>44097</v>
      </c>
      <c r="B1758" s="23">
        <v>274.58269999999999</v>
      </c>
      <c r="C1758" s="21">
        <v>1.94509840029672</v>
      </c>
    </row>
    <row r="1759" spans="1:3">
      <c r="A1759" s="20">
        <v>44096</v>
      </c>
      <c r="B1759" s="23">
        <v>274.58359999999999</v>
      </c>
      <c r="C1759" s="21">
        <v>1.94849845323084</v>
      </c>
    </row>
    <row r="1760" spans="1:3">
      <c r="A1760" s="20">
        <v>44095</v>
      </c>
      <c r="B1760" s="23">
        <v>274.58449999999999</v>
      </c>
      <c r="C1760" s="21">
        <v>1.9518608564439699</v>
      </c>
    </row>
    <row r="1761" spans="1:3">
      <c r="A1761" s="20">
        <v>44094</v>
      </c>
      <c r="B1761" s="23">
        <v>274.58539999999999</v>
      </c>
      <c r="C1761" s="21">
        <v>1.9552613160205601</v>
      </c>
    </row>
    <row r="1762" spans="1:3">
      <c r="A1762" s="20">
        <v>44093</v>
      </c>
      <c r="B1762" s="23">
        <v>274.58629999999999</v>
      </c>
      <c r="C1762" s="21">
        <v>1.9586619801464</v>
      </c>
    </row>
    <row r="1763" spans="1:3">
      <c r="A1763" s="20">
        <v>44092</v>
      </c>
      <c r="B1763" s="23">
        <v>274.58730000000003</v>
      </c>
      <c r="C1763" s="21">
        <v>1.9620999816935001</v>
      </c>
    </row>
    <row r="1764" spans="1:3">
      <c r="A1764" s="20">
        <v>44091</v>
      </c>
      <c r="B1764" s="23">
        <v>274.58819999999997</v>
      </c>
      <c r="C1764" s="21">
        <v>1.96550105609012</v>
      </c>
    </row>
    <row r="1765" spans="1:3">
      <c r="A1765" s="20">
        <v>44090</v>
      </c>
      <c r="B1765" s="23">
        <v>274.58909999999997</v>
      </c>
      <c r="C1765" s="21">
        <v>1.9688644688644701</v>
      </c>
    </row>
    <row r="1766" spans="1:3">
      <c r="A1766" s="20">
        <v>44089</v>
      </c>
      <c r="B1766" s="23">
        <v>274.58999999999997</v>
      </c>
      <c r="C1766" s="21">
        <v>1.9722659500867299</v>
      </c>
    </row>
    <row r="1767" spans="1:3">
      <c r="A1767" s="20">
        <v>44088</v>
      </c>
      <c r="B1767" s="23">
        <v>274.58999999999997</v>
      </c>
      <c r="C1767" s="21">
        <v>1.97949936863998</v>
      </c>
    </row>
    <row r="1768" spans="1:3">
      <c r="A1768" s="20">
        <v>44087</v>
      </c>
      <c r="B1768" s="23">
        <v>274.58999999999997</v>
      </c>
      <c r="C1768" s="21">
        <v>1.9867338134733601</v>
      </c>
    </row>
    <row r="1769" spans="1:3">
      <c r="A1769" s="20">
        <v>44086</v>
      </c>
      <c r="B1769" s="23">
        <v>274.58999999999997</v>
      </c>
      <c r="C1769" s="21">
        <v>1.99393140008298</v>
      </c>
    </row>
    <row r="1770" spans="1:3">
      <c r="A1770" s="20">
        <v>44085</v>
      </c>
      <c r="B1770" s="23">
        <v>274.58999999999997</v>
      </c>
      <c r="C1770" s="21">
        <v>2.00116789275594</v>
      </c>
    </row>
    <row r="1771" spans="1:3">
      <c r="A1771" s="20">
        <v>44084</v>
      </c>
      <c r="B1771" s="23">
        <v>274.58999999999997</v>
      </c>
      <c r="C1771" s="21">
        <v>2.0084054123633801</v>
      </c>
    </row>
    <row r="1772" spans="1:3">
      <c r="A1772" s="20">
        <v>44083</v>
      </c>
      <c r="B1772" s="23">
        <v>274.58999999999997</v>
      </c>
      <c r="C1772" s="21">
        <v>2.0156439591239002</v>
      </c>
    </row>
    <row r="1773" spans="1:3">
      <c r="A1773" s="20">
        <v>44082</v>
      </c>
      <c r="B1773" s="23">
        <v>274.58999999999997</v>
      </c>
      <c r="C1773" s="21">
        <v>2.0228835332561799</v>
      </c>
    </row>
    <row r="1774" spans="1:3">
      <c r="A1774" s="20">
        <v>44081</v>
      </c>
      <c r="B1774" s="23">
        <v>274.58999999999997</v>
      </c>
      <c r="C1774" s="21">
        <v>2.0301241349789501</v>
      </c>
    </row>
    <row r="1775" spans="1:3">
      <c r="A1775" s="20">
        <v>44080</v>
      </c>
      <c r="B1775" s="23">
        <v>274.58999999999997</v>
      </c>
      <c r="C1775" s="21">
        <v>2.0373278475433998</v>
      </c>
    </row>
    <row r="1776" spans="1:3">
      <c r="A1776" s="20">
        <v>44079</v>
      </c>
      <c r="B1776" s="23">
        <v>274.58999999999997</v>
      </c>
      <c r="C1776" s="21">
        <v>2.0445704997207201</v>
      </c>
    </row>
    <row r="1777" spans="1:3">
      <c r="A1777" s="20">
        <v>44078</v>
      </c>
      <c r="B1777" s="23">
        <v>274.58999999999997</v>
      </c>
      <c r="C1777" s="21">
        <v>2.0518141801439902</v>
      </c>
    </row>
    <row r="1778" spans="1:3">
      <c r="A1778" s="20">
        <v>44077</v>
      </c>
      <c r="B1778" s="23">
        <v>274.58999999999997</v>
      </c>
      <c r="C1778" s="21">
        <v>2.0590588890321899</v>
      </c>
    </row>
    <row r="1779" spans="1:3">
      <c r="A1779" s="20">
        <v>44076</v>
      </c>
      <c r="B1779" s="23">
        <v>274.58999999999997</v>
      </c>
      <c r="C1779" s="21">
        <v>2.0662666881263898</v>
      </c>
    </row>
    <row r="1780" spans="1:3">
      <c r="A1780" s="20">
        <v>44075</v>
      </c>
      <c r="B1780" s="23">
        <v>274.58999999999997</v>
      </c>
      <c r="C1780" s="21">
        <v>2.0735134492141598</v>
      </c>
    </row>
    <row r="1781" spans="1:3">
      <c r="A1781" s="20">
        <v>44074</v>
      </c>
      <c r="B1781" s="23">
        <v>274.58999999999997</v>
      </c>
      <c r="C1781" s="21">
        <v>2.0807612394230501</v>
      </c>
    </row>
    <row r="1782" spans="1:3">
      <c r="A1782" s="20">
        <v>44073</v>
      </c>
      <c r="B1782" s="23">
        <v>274.58999999999997</v>
      </c>
      <c r="C1782" s="21">
        <v>2.0879721043565902</v>
      </c>
    </row>
    <row r="1783" spans="1:3">
      <c r="A1783" s="20">
        <v>44072</v>
      </c>
      <c r="B1783" s="23">
        <v>274.58999999999997</v>
      </c>
      <c r="C1783" s="21">
        <v>2.09522194807455</v>
      </c>
    </row>
    <row r="1784" spans="1:3">
      <c r="A1784" s="20">
        <v>44071</v>
      </c>
      <c r="B1784" s="23">
        <v>274.58999999999997</v>
      </c>
      <c r="C1784" s="21">
        <v>2.1024728215703599</v>
      </c>
    </row>
    <row r="1785" spans="1:3">
      <c r="A1785" s="20">
        <v>44070</v>
      </c>
      <c r="B1785" s="23">
        <v>274.58999999999997</v>
      </c>
      <c r="C1785" s="21">
        <v>2.1096867542997502</v>
      </c>
    </row>
    <row r="1786" spans="1:3">
      <c r="A1786" s="20">
        <v>44069</v>
      </c>
      <c r="B1786" s="23">
        <v>274.58999999999997</v>
      </c>
      <c r="C1786" s="21">
        <v>2.1169396826152398</v>
      </c>
    </row>
    <row r="1787" spans="1:3">
      <c r="A1787" s="20">
        <v>44068</v>
      </c>
      <c r="B1787" s="23">
        <v>274.58999999999997</v>
      </c>
      <c r="C1787" s="21">
        <v>2.1241936413658999</v>
      </c>
    </row>
    <row r="1788" spans="1:3">
      <c r="A1788" s="20">
        <v>44067</v>
      </c>
      <c r="B1788" s="23">
        <v>274.58999999999997</v>
      </c>
      <c r="C1788" s="21">
        <v>2.1314106438492999</v>
      </c>
    </row>
    <row r="1789" spans="1:3">
      <c r="A1789" s="20">
        <v>44066</v>
      </c>
      <c r="B1789" s="23">
        <v>274.58999999999997</v>
      </c>
      <c r="C1789" s="21">
        <v>2.1386666587313501</v>
      </c>
    </row>
    <row r="1790" spans="1:3">
      <c r="A1790" s="20">
        <v>44065</v>
      </c>
      <c r="B1790" s="23">
        <v>274.58999999999997</v>
      </c>
      <c r="C1790" s="21">
        <v>2.1458857070158799</v>
      </c>
    </row>
    <row r="1791" spans="1:3">
      <c r="A1791" s="20">
        <v>44064</v>
      </c>
      <c r="B1791" s="23">
        <v>274.58999999999997</v>
      </c>
      <c r="C1791" s="21">
        <v>2.1531437789036798</v>
      </c>
    </row>
    <row r="1792" spans="1:3">
      <c r="A1792" s="20">
        <v>44063</v>
      </c>
      <c r="B1792" s="23">
        <v>274.58999999999997</v>
      </c>
      <c r="C1792" s="21">
        <v>2.1603648738593502</v>
      </c>
    </row>
    <row r="1793" spans="1:3">
      <c r="A1793" s="20">
        <v>44062</v>
      </c>
      <c r="B1793" s="23">
        <v>274.58999999999997</v>
      </c>
      <c r="C1793" s="21">
        <v>2.16762500362772</v>
      </c>
    </row>
    <row r="1794" spans="1:3">
      <c r="A1794" s="20">
        <v>44061</v>
      </c>
      <c r="B1794" s="23">
        <v>274.58999999999997</v>
      </c>
      <c r="C1794" s="21">
        <v>2.17488616536636</v>
      </c>
    </row>
    <row r="1795" spans="1:3">
      <c r="A1795" s="20">
        <v>44060</v>
      </c>
      <c r="B1795" s="23">
        <v>274.58999999999997</v>
      </c>
      <c r="C1795" s="21">
        <v>2.1821103346493</v>
      </c>
    </row>
    <row r="1796" spans="1:3">
      <c r="A1796" s="20">
        <v>44059</v>
      </c>
      <c r="B1796" s="23">
        <v>274.58999999999997</v>
      </c>
      <c r="C1796" s="21">
        <v>2.1893735555828502</v>
      </c>
    </row>
    <row r="1797" spans="1:3">
      <c r="A1797" s="20">
        <v>44058</v>
      </c>
      <c r="B1797" s="23">
        <v>274.58999999999997</v>
      </c>
      <c r="C1797" s="21">
        <v>2.1965997737152398</v>
      </c>
    </row>
    <row r="1798" spans="1:3">
      <c r="A1798" s="20">
        <v>44057</v>
      </c>
      <c r="B1798" s="23">
        <v>274.62369999999999</v>
      </c>
      <c r="C1798" s="21">
        <v>2.2180443571650299</v>
      </c>
    </row>
    <row r="1799" spans="1:3">
      <c r="A1799" s="20">
        <v>44056</v>
      </c>
      <c r="B1799" s="23">
        <v>274.6574</v>
      </c>
      <c r="C1799" s="21">
        <v>2.2394546184819699</v>
      </c>
    </row>
    <row r="1800" spans="1:3">
      <c r="A1800" s="20">
        <v>44055</v>
      </c>
      <c r="B1800" s="23">
        <v>274.69119999999998</v>
      </c>
      <c r="C1800" s="21">
        <v>2.2609438909320598</v>
      </c>
    </row>
    <row r="1801" spans="1:3">
      <c r="A1801" s="20">
        <v>44054</v>
      </c>
      <c r="B1801" s="23">
        <v>274.72489999999999</v>
      </c>
      <c r="C1801" s="21">
        <v>2.28239967683627</v>
      </c>
    </row>
    <row r="1802" spans="1:3">
      <c r="A1802" s="20">
        <v>44053</v>
      </c>
      <c r="B1802" s="23">
        <v>274.7586</v>
      </c>
      <c r="C1802" s="21">
        <v>2.3038211096349901</v>
      </c>
    </row>
    <row r="1803" spans="1:3">
      <c r="A1803" s="20">
        <v>44052</v>
      </c>
      <c r="B1803" s="23">
        <v>274.79239999999999</v>
      </c>
      <c r="C1803" s="21">
        <v>2.3253216001024799</v>
      </c>
    </row>
    <row r="1804" spans="1:3">
      <c r="A1804" s="20">
        <v>44051</v>
      </c>
      <c r="B1804" s="23">
        <v>274.8261</v>
      </c>
      <c r="C1804" s="21">
        <v>2.3467504827306298</v>
      </c>
    </row>
    <row r="1805" spans="1:3">
      <c r="A1805" s="20">
        <v>44050</v>
      </c>
      <c r="B1805" s="23">
        <v>274.85989999999998</v>
      </c>
      <c r="C1805" s="21">
        <v>2.3682584540621998</v>
      </c>
    </row>
    <row r="1806" spans="1:3">
      <c r="A1806" s="20">
        <v>44049</v>
      </c>
      <c r="B1806" s="23">
        <v>274.89370000000002</v>
      </c>
      <c r="C1806" s="21">
        <v>2.3897320374347499</v>
      </c>
    </row>
    <row r="1807" spans="1:3">
      <c r="A1807" s="20">
        <v>44048</v>
      </c>
      <c r="B1807" s="23">
        <v>274.92739999999998</v>
      </c>
      <c r="C1807" s="21">
        <v>2.4112102465074101</v>
      </c>
    </row>
    <row r="1808" spans="1:3">
      <c r="A1808" s="20">
        <v>44047</v>
      </c>
      <c r="B1808" s="23">
        <v>274.96120000000002</v>
      </c>
      <c r="C1808" s="21">
        <v>2.4326912939670602</v>
      </c>
    </row>
    <row r="1809" spans="1:3">
      <c r="A1809" s="20">
        <v>44046</v>
      </c>
      <c r="B1809" s="23">
        <v>274.995</v>
      </c>
      <c r="C1809" s="21">
        <v>2.4542142419908202</v>
      </c>
    </row>
    <row r="1810" spans="1:3">
      <c r="A1810" s="20">
        <v>44045</v>
      </c>
      <c r="B1810" s="23">
        <v>275.02870000000001</v>
      </c>
      <c r="C1810" s="21">
        <v>2.47566550067739</v>
      </c>
    </row>
    <row r="1811" spans="1:3">
      <c r="A1811" s="20">
        <v>44044</v>
      </c>
      <c r="B1811" s="23">
        <v>275.0625</v>
      </c>
      <c r="C1811" s="21">
        <v>2.49719594128804</v>
      </c>
    </row>
    <row r="1812" spans="1:3">
      <c r="A1812" s="20">
        <v>44043</v>
      </c>
      <c r="B1812" s="23">
        <v>275.09629999999999</v>
      </c>
      <c r="C1812" s="21">
        <v>2.5186919318455798</v>
      </c>
    </row>
    <row r="1813" spans="1:3">
      <c r="A1813" s="20">
        <v>44042</v>
      </c>
      <c r="B1813" s="23">
        <v>275.13010000000003</v>
      </c>
      <c r="C1813" s="21">
        <v>2.5402298722058401</v>
      </c>
    </row>
    <row r="1814" spans="1:3">
      <c r="A1814" s="20">
        <v>44041</v>
      </c>
      <c r="B1814" s="23">
        <v>275.16390000000001</v>
      </c>
      <c r="C1814" s="21">
        <v>2.5617333417818702</v>
      </c>
    </row>
    <row r="1815" spans="1:3">
      <c r="A1815" s="20">
        <v>44040</v>
      </c>
      <c r="B1815" s="23">
        <v>275.1977</v>
      </c>
      <c r="C1815" s="21">
        <v>2.5832405466628998</v>
      </c>
    </row>
    <row r="1816" spans="1:3">
      <c r="A1816" s="20">
        <v>44039</v>
      </c>
      <c r="B1816" s="23">
        <v>275.23149999999998</v>
      </c>
      <c r="C1816" s="21">
        <v>2.6047897383094401</v>
      </c>
    </row>
    <row r="1817" spans="1:3">
      <c r="A1817" s="20">
        <v>44038</v>
      </c>
      <c r="B1817" s="23">
        <v>275.26530000000002</v>
      </c>
      <c r="C1817" s="21">
        <v>2.6263044280649201</v>
      </c>
    </row>
    <row r="1818" spans="1:3">
      <c r="A1818" s="20">
        <v>44037</v>
      </c>
      <c r="B1818" s="23">
        <v>275.29910000000001</v>
      </c>
      <c r="C1818" s="21">
        <v>2.6478228560498498</v>
      </c>
    </row>
    <row r="1819" spans="1:3">
      <c r="A1819" s="20">
        <v>44036</v>
      </c>
      <c r="B1819" s="23">
        <v>275.3329</v>
      </c>
      <c r="C1819" s="21">
        <v>2.6693833077964602</v>
      </c>
    </row>
    <row r="1820" spans="1:3">
      <c r="A1820" s="20">
        <v>44035</v>
      </c>
      <c r="B1820" s="23">
        <v>275.36669999999998</v>
      </c>
      <c r="C1820" s="21">
        <v>2.6909092265178902</v>
      </c>
    </row>
    <row r="1821" spans="1:3">
      <c r="A1821" s="20">
        <v>44034</v>
      </c>
      <c r="B1821" s="23">
        <v>275.40050000000002</v>
      </c>
      <c r="C1821" s="21">
        <v>2.7124388863963</v>
      </c>
    </row>
    <row r="1822" spans="1:3">
      <c r="A1822" s="20">
        <v>44033</v>
      </c>
      <c r="B1822" s="23">
        <v>275.43439999999998</v>
      </c>
      <c r="C1822" s="21">
        <v>2.7340095873100201</v>
      </c>
    </row>
    <row r="1823" spans="1:3">
      <c r="A1823" s="20">
        <v>44032</v>
      </c>
      <c r="B1823" s="23">
        <v>275.46820000000002</v>
      </c>
      <c r="C1823" s="21">
        <v>2.7555467356706602</v>
      </c>
    </row>
    <row r="1824" spans="1:3">
      <c r="A1824" s="20">
        <v>44031</v>
      </c>
      <c r="B1824" s="23">
        <v>275.50200000000001</v>
      </c>
      <c r="C1824" s="21">
        <v>2.77712596952074</v>
      </c>
    </row>
    <row r="1825" spans="1:3">
      <c r="A1825" s="20">
        <v>44030</v>
      </c>
      <c r="B1825" s="23">
        <v>275.53590000000003</v>
      </c>
      <c r="C1825" s="21">
        <v>2.7987079270422002</v>
      </c>
    </row>
    <row r="1826" spans="1:3">
      <c r="A1826" s="20">
        <v>44029</v>
      </c>
      <c r="B1826" s="23">
        <v>275.56970000000001</v>
      </c>
      <c r="C1826" s="21">
        <v>2.8202563252044399</v>
      </c>
    </row>
    <row r="1827" spans="1:3">
      <c r="A1827" s="20">
        <v>44028</v>
      </c>
      <c r="B1827" s="23">
        <v>275.6035</v>
      </c>
      <c r="C1827" s="21">
        <v>2.8418084703855899</v>
      </c>
    </row>
    <row r="1828" spans="1:3">
      <c r="A1828" s="20">
        <v>44027</v>
      </c>
      <c r="B1828" s="23">
        <v>275.63740000000001</v>
      </c>
      <c r="C1828" s="21">
        <v>2.8634016819392101</v>
      </c>
    </row>
    <row r="1829" spans="1:3">
      <c r="A1829" s="20">
        <v>44026</v>
      </c>
      <c r="B1829" s="23">
        <v>275.6669</v>
      </c>
      <c r="C1829" s="21">
        <v>2.8850076267957099</v>
      </c>
    </row>
    <row r="1830" spans="1:3">
      <c r="A1830" s="20">
        <v>44025</v>
      </c>
      <c r="B1830" s="23">
        <v>275.69630000000001</v>
      </c>
      <c r="C1830" s="21">
        <v>2.9066191082650401</v>
      </c>
    </row>
    <row r="1831" spans="1:3">
      <c r="A1831" s="20">
        <v>44024</v>
      </c>
      <c r="B1831" s="23">
        <v>275.72579999999999</v>
      </c>
      <c r="C1831" s="21">
        <v>2.9282339660506702</v>
      </c>
    </row>
    <row r="1832" spans="1:3">
      <c r="A1832" s="20">
        <v>44023</v>
      </c>
      <c r="B1832" s="23">
        <v>275.7552</v>
      </c>
      <c r="C1832" s="21">
        <v>2.9498159445070802</v>
      </c>
    </row>
    <row r="1833" spans="1:3">
      <c r="A1833" s="20">
        <v>44022</v>
      </c>
      <c r="B1833" s="23">
        <v>275.78469999999999</v>
      </c>
      <c r="C1833" s="21">
        <v>2.9714781558047099</v>
      </c>
    </row>
    <row r="1834" spans="1:3">
      <c r="A1834" s="20">
        <v>44021</v>
      </c>
      <c r="B1834" s="23">
        <v>275.81420000000003</v>
      </c>
      <c r="C1834" s="21">
        <v>2.9931063892393799</v>
      </c>
    </row>
    <row r="1835" spans="1:3">
      <c r="A1835" s="20">
        <v>44020</v>
      </c>
      <c r="B1835" s="23">
        <v>275.84359999999998</v>
      </c>
      <c r="C1835" s="21">
        <v>3.01470173592296</v>
      </c>
    </row>
    <row r="1836" spans="1:3">
      <c r="A1836" s="20">
        <v>44019</v>
      </c>
      <c r="B1836" s="23">
        <v>275.87310000000002</v>
      </c>
      <c r="C1836" s="21">
        <v>3.0363773672852399</v>
      </c>
    </row>
    <row r="1837" spans="1:3">
      <c r="A1837" s="20">
        <v>44018</v>
      </c>
      <c r="B1837" s="23">
        <v>275.90260000000001</v>
      </c>
      <c r="C1837" s="21">
        <v>3.0580189887933402</v>
      </c>
    </row>
    <row r="1838" spans="1:3">
      <c r="A1838" s="20">
        <v>44017</v>
      </c>
      <c r="B1838" s="23">
        <v>275.93209999999999</v>
      </c>
      <c r="C1838" s="21">
        <v>3.0796650730215198</v>
      </c>
    </row>
    <row r="1839" spans="1:3">
      <c r="A1839" s="20">
        <v>44016</v>
      </c>
      <c r="B1839" s="23">
        <v>275.96159999999998</v>
      </c>
      <c r="C1839" s="21">
        <v>3.1013156213503201</v>
      </c>
    </row>
    <row r="1840" spans="1:3">
      <c r="A1840" s="20">
        <v>44015</v>
      </c>
      <c r="B1840" s="23">
        <v>275.99099999999999</v>
      </c>
      <c r="C1840" s="21">
        <v>3.1229332705608099</v>
      </c>
    </row>
    <row r="1841" spans="1:3">
      <c r="A1841" s="20">
        <v>44014</v>
      </c>
      <c r="B1841" s="23">
        <v>276.02050000000003</v>
      </c>
      <c r="C1841" s="21">
        <v>3.1445927473810298</v>
      </c>
    </row>
    <row r="1842" spans="1:3">
      <c r="A1842" s="20">
        <v>44013</v>
      </c>
      <c r="B1842" s="23">
        <v>276.05</v>
      </c>
      <c r="C1842" s="21">
        <v>3.16629524807187</v>
      </c>
    </row>
    <row r="1843" spans="1:3">
      <c r="A1843" s="20">
        <v>44012</v>
      </c>
      <c r="B1843" s="23">
        <v>276.0795</v>
      </c>
      <c r="C1843" s="21">
        <v>3.1879636748407099</v>
      </c>
    </row>
    <row r="1844" spans="1:3">
      <c r="A1844" s="20">
        <v>44011</v>
      </c>
      <c r="B1844" s="23">
        <v>276.10899999999998</v>
      </c>
      <c r="C1844" s="21">
        <v>3.20963657262473</v>
      </c>
    </row>
    <row r="1845" spans="1:3">
      <c r="A1845" s="20">
        <v>44010</v>
      </c>
      <c r="B1845" s="23">
        <v>276.13850000000002</v>
      </c>
      <c r="C1845" s="21">
        <v>3.2313139428078799</v>
      </c>
    </row>
    <row r="1846" spans="1:3">
      <c r="A1846" s="20">
        <v>44009</v>
      </c>
      <c r="B1846" s="23">
        <v>276.16800000000001</v>
      </c>
      <c r="C1846" s="21">
        <v>3.2529957867746799</v>
      </c>
    </row>
    <row r="1847" spans="1:3">
      <c r="A1847" s="20">
        <v>44008</v>
      </c>
      <c r="B1847" s="23">
        <v>276.19749999999999</v>
      </c>
      <c r="C1847" s="21">
        <v>3.2746821059102298</v>
      </c>
    </row>
    <row r="1848" spans="1:3">
      <c r="A1848" s="20">
        <v>44007</v>
      </c>
      <c r="B1848" s="23">
        <v>276.22699999999998</v>
      </c>
      <c r="C1848" s="21">
        <v>3.2963342734549901</v>
      </c>
    </row>
    <row r="1849" spans="1:3">
      <c r="A1849" s="20">
        <v>44006</v>
      </c>
      <c r="B1849" s="23">
        <v>276.25650000000002</v>
      </c>
      <c r="C1849" s="21">
        <v>3.31802953498444</v>
      </c>
    </row>
    <row r="1850" spans="1:3">
      <c r="A1850" s="20">
        <v>44005</v>
      </c>
      <c r="B1850" s="23">
        <v>276.28609999999998</v>
      </c>
      <c r="C1850" s="21">
        <v>3.3397666790097098</v>
      </c>
    </row>
    <row r="1851" spans="1:3">
      <c r="A1851" s="20">
        <v>44004</v>
      </c>
      <c r="B1851" s="23">
        <v>276.31560000000002</v>
      </c>
      <c r="C1851" s="21">
        <v>3.3614709044347499</v>
      </c>
    </row>
    <row r="1852" spans="1:3">
      <c r="A1852" s="20">
        <v>44003</v>
      </c>
      <c r="B1852" s="23">
        <v>276.3451</v>
      </c>
      <c r="C1852" s="21">
        <v>3.3831796119592199</v>
      </c>
    </row>
    <row r="1853" spans="1:3">
      <c r="A1853" s="20">
        <v>44002</v>
      </c>
      <c r="B1853" s="23">
        <v>276.37459999999999</v>
      </c>
      <c r="C1853" s="21">
        <v>3.4048928029716299</v>
      </c>
    </row>
    <row r="1854" spans="1:3">
      <c r="A1854" s="20">
        <v>44001</v>
      </c>
      <c r="B1854" s="23">
        <v>276.4042</v>
      </c>
      <c r="C1854" s="21">
        <v>3.4266091966710901</v>
      </c>
    </row>
    <row r="1855" spans="1:3">
      <c r="A1855" s="20">
        <v>44000</v>
      </c>
      <c r="B1855" s="23">
        <v>276.43369999999999</v>
      </c>
      <c r="C1855" s="21">
        <v>3.4483313505658799</v>
      </c>
    </row>
    <row r="1856" spans="1:3">
      <c r="A1856" s="20">
        <v>43999</v>
      </c>
      <c r="B1856" s="23">
        <v>276.46319999999997</v>
      </c>
      <c r="C1856" s="21">
        <v>3.47005799211427</v>
      </c>
    </row>
    <row r="1857" spans="1:3">
      <c r="A1857" s="20">
        <v>43998</v>
      </c>
      <c r="B1857" s="23">
        <v>276.49279999999999</v>
      </c>
      <c r="C1857" s="21">
        <v>3.4917878157236801</v>
      </c>
    </row>
    <row r="1858" spans="1:3">
      <c r="A1858" s="20">
        <v>43997</v>
      </c>
      <c r="B1858" s="23">
        <v>276.52229999999997</v>
      </c>
      <c r="C1858" s="21">
        <v>3.5135234284807302</v>
      </c>
    </row>
    <row r="1859" spans="1:3">
      <c r="A1859" s="20">
        <v>43996</v>
      </c>
      <c r="B1859" s="23">
        <v>276.50810000000001</v>
      </c>
      <c r="C1859" s="21">
        <v>3.5248330640768102</v>
      </c>
    </row>
    <row r="1860" spans="1:3">
      <c r="A1860" s="20">
        <v>43995</v>
      </c>
      <c r="B1860" s="23">
        <v>276.49380000000002</v>
      </c>
      <c r="C1860" s="21">
        <v>3.5361476574655399</v>
      </c>
    </row>
    <row r="1861" spans="1:3">
      <c r="A1861" s="20">
        <v>43994</v>
      </c>
      <c r="B1861" s="23">
        <v>276.4796</v>
      </c>
      <c r="C1861" s="21">
        <v>3.5475033472842501</v>
      </c>
    </row>
    <row r="1862" spans="1:3">
      <c r="A1862" s="20">
        <v>43993</v>
      </c>
      <c r="B1862" s="23">
        <v>276.46530000000001</v>
      </c>
      <c r="C1862" s="21">
        <v>3.55878644584338</v>
      </c>
    </row>
    <row r="1863" spans="1:3">
      <c r="A1863" s="20">
        <v>43992</v>
      </c>
      <c r="B1863" s="23">
        <v>276.45100000000002</v>
      </c>
      <c r="C1863" s="21">
        <v>3.57011197295386</v>
      </c>
    </row>
    <row r="1864" spans="1:3">
      <c r="A1864" s="20">
        <v>43991</v>
      </c>
      <c r="B1864" s="23">
        <v>276.43680000000001</v>
      </c>
      <c r="C1864" s="21">
        <v>3.5814398076729201</v>
      </c>
    </row>
    <row r="1865" spans="1:3">
      <c r="A1865" s="20">
        <v>43990</v>
      </c>
      <c r="B1865" s="23">
        <v>276.42250000000001</v>
      </c>
      <c r="C1865" s="21">
        <v>3.5927338085819098</v>
      </c>
    </row>
    <row r="1866" spans="1:3">
      <c r="A1866" s="20">
        <v>43989</v>
      </c>
      <c r="B1866" s="23">
        <v>276.4083</v>
      </c>
      <c r="C1866" s="21">
        <v>3.6041077570309201</v>
      </c>
    </row>
    <row r="1867" spans="1:3">
      <c r="A1867" s="20">
        <v>43988</v>
      </c>
      <c r="B1867" s="23">
        <v>276.39400000000001</v>
      </c>
      <c r="C1867" s="21">
        <v>3.6154090404532502</v>
      </c>
    </row>
    <row r="1868" spans="1:3">
      <c r="A1868" s="20">
        <v>43987</v>
      </c>
      <c r="B1868" s="23">
        <v>276.37979999999999</v>
      </c>
      <c r="C1868" s="21">
        <v>3.6267514538426102</v>
      </c>
    </row>
    <row r="1869" spans="1:3">
      <c r="A1869" s="20">
        <v>43986</v>
      </c>
      <c r="B1869" s="23">
        <v>276.3655</v>
      </c>
      <c r="C1869" s="21">
        <v>3.63806001632766</v>
      </c>
    </row>
    <row r="1870" spans="1:3">
      <c r="A1870" s="20">
        <v>43985</v>
      </c>
      <c r="B1870" s="23">
        <v>276.35129999999998</v>
      </c>
      <c r="C1870" s="21">
        <v>3.6494097243580002</v>
      </c>
    </row>
    <row r="1871" spans="1:3">
      <c r="A1871" s="20">
        <v>43984</v>
      </c>
      <c r="B1871" s="23">
        <v>276.33699999999999</v>
      </c>
      <c r="C1871" s="21">
        <v>3.6607255729367298</v>
      </c>
    </row>
    <row r="1872" spans="1:3">
      <c r="A1872" s="20">
        <v>43983</v>
      </c>
      <c r="B1872" s="23">
        <v>276.32279999999997</v>
      </c>
      <c r="C1872" s="21">
        <v>3.6720825826513099</v>
      </c>
    </row>
    <row r="1873" spans="1:3">
      <c r="A1873" s="20">
        <v>43982</v>
      </c>
      <c r="B1873" s="23">
        <v>276.30849999999998</v>
      </c>
      <c r="C1873" s="21">
        <v>3.6834057243637299</v>
      </c>
    </row>
    <row r="1874" spans="1:3">
      <c r="A1874" s="20">
        <v>43981</v>
      </c>
      <c r="B1874" s="23">
        <v>276.29430000000002</v>
      </c>
      <c r="C1874" s="21">
        <v>3.6947311256120798</v>
      </c>
    </row>
    <row r="1875" spans="1:3">
      <c r="A1875" s="20">
        <v>43980</v>
      </c>
      <c r="B1875" s="23">
        <v>276.27999999999997</v>
      </c>
      <c r="C1875" s="21">
        <v>3.7060615569872799</v>
      </c>
    </row>
    <row r="1876" spans="1:3">
      <c r="A1876" s="20">
        <v>43979</v>
      </c>
      <c r="B1876" s="23">
        <v>276.26580000000001</v>
      </c>
      <c r="C1876" s="21">
        <v>3.71743318069753</v>
      </c>
    </row>
    <row r="1877" spans="1:3">
      <c r="A1877" s="20">
        <v>43978</v>
      </c>
      <c r="B1877" s="23">
        <v>276.25150000000002</v>
      </c>
      <c r="C1877" s="21">
        <v>3.7287319705423299</v>
      </c>
    </row>
    <row r="1878" spans="1:3">
      <c r="A1878" s="20">
        <v>43977</v>
      </c>
      <c r="B1878" s="23">
        <v>276.2373</v>
      </c>
      <c r="C1878" s="21">
        <v>3.7401109065631402</v>
      </c>
    </row>
    <row r="1879" spans="1:3">
      <c r="A1879" s="20">
        <v>43976</v>
      </c>
      <c r="B1879" s="23">
        <v>276.22300000000001</v>
      </c>
      <c r="C1879" s="21">
        <v>3.75141697910946</v>
      </c>
    </row>
    <row r="1880" spans="1:3">
      <c r="A1880" s="20">
        <v>43975</v>
      </c>
      <c r="B1880" s="23">
        <v>276.2088</v>
      </c>
      <c r="C1880" s="21">
        <v>3.7627642541528199</v>
      </c>
    </row>
    <row r="1881" spans="1:3">
      <c r="A1881" s="20">
        <v>43974</v>
      </c>
      <c r="B1881" s="23">
        <v>276.19450000000001</v>
      </c>
      <c r="C1881" s="21">
        <v>3.7741165967874499</v>
      </c>
    </row>
    <row r="1882" spans="1:3">
      <c r="A1882" s="20">
        <v>43973</v>
      </c>
      <c r="B1882" s="23">
        <v>276.18029999999999</v>
      </c>
      <c r="C1882" s="21">
        <v>3.7854711771848102</v>
      </c>
    </row>
    <row r="1883" spans="1:3">
      <c r="A1883" s="20">
        <v>43972</v>
      </c>
      <c r="B1883" s="23">
        <v>276.166</v>
      </c>
      <c r="C1883" s="21">
        <v>3.7967918257292101</v>
      </c>
    </row>
    <row r="1884" spans="1:3">
      <c r="A1884" s="20">
        <v>43971</v>
      </c>
      <c r="B1884" s="23">
        <v>276.15179999999998</v>
      </c>
      <c r="C1884" s="21">
        <v>3.80815370799256</v>
      </c>
    </row>
    <row r="1885" spans="1:3">
      <c r="A1885" s="20">
        <v>43970</v>
      </c>
      <c r="B1885" s="23">
        <v>276.13760000000002</v>
      </c>
      <c r="C1885" s="21">
        <v>3.8195192468564199</v>
      </c>
    </row>
    <row r="1886" spans="1:3">
      <c r="A1886" s="20">
        <v>43969</v>
      </c>
      <c r="B1886" s="23">
        <v>276.12329999999997</v>
      </c>
      <c r="C1886" s="21">
        <v>3.83085084101157</v>
      </c>
    </row>
    <row r="1887" spans="1:3">
      <c r="A1887" s="20">
        <v>43968</v>
      </c>
      <c r="B1887" s="23">
        <v>276.10910000000001</v>
      </c>
      <c r="C1887" s="21">
        <v>3.8422236923212298</v>
      </c>
    </row>
    <row r="1888" spans="1:3">
      <c r="A1888" s="20">
        <v>43967</v>
      </c>
      <c r="B1888" s="23">
        <v>276.09480000000002</v>
      </c>
      <c r="C1888" s="21">
        <v>3.85352352565467</v>
      </c>
    </row>
    <row r="1889" spans="1:3">
      <c r="A1889" s="20">
        <v>43966</v>
      </c>
      <c r="B1889" s="23">
        <v>276.0806</v>
      </c>
      <c r="C1889" s="21">
        <v>3.8649036859019001</v>
      </c>
    </row>
    <row r="1890" spans="1:3">
      <c r="A1890" s="20">
        <v>43965</v>
      </c>
      <c r="B1890" s="23">
        <v>276.0283</v>
      </c>
      <c r="C1890" s="21">
        <v>3.8600756896768398</v>
      </c>
    </row>
    <row r="1891" spans="1:3">
      <c r="A1891" s="20">
        <v>43964</v>
      </c>
      <c r="B1891" s="23">
        <v>275.976</v>
      </c>
      <c r="C1891" s="21">
        <v>3.8552463126299701</v>
      </c>
    </row>
    <row r="1892" spans="1:3">
      <c r="A1892" s="20">
        <v>43963</v>
      </c>
      <c r="B1892" s="23">
        <v>275.92380000000003</v>
      </c>
      <c r="C1892" s="21">
        <v>3.8504531915358098</v>
      </c>
    </row>
    <row r="1893" spans="1:3">
      <c r="A1893" s="20">
        <v>43962</v>
      </c>
      <c r="B1893" s="23">
        <v>275.87150000000003</v>
      </c>
      <c r="C1893" s="21">
        <v>3.8456210564513298</v>
      </c>
    </row>
    <row r="1894" spans="1:3">
      <c r="A1894" s="20">
        <v>43961</v>
      </c>
      <c r="B1894" s="23">
        <v>275.81920000000002</v>
      </c>
      <c r="C1894" s="21">
        <v>3.8407875387681698</v>
      </c>
    </row>
    <row r="1895" spans="1:3">
      <c r="A1895" s="20">
        <v>43960</v>
      </c>
      <c r="B1895" s="23">
        <v>275.767</v>
      </c>
      <c r="C1895" s="21">
        <v>3.8359902914156701</v>
      </c>
    </row>
    <row r="1896" spans="1:3">
      <c r="A1896" s="20">
        <v>43959</v>
      </c>
      <c r="B1896" s="23">
        <v>275.71469999999999</v>
      </c>
      <c r="C1896" s="21">
        <v>3.8311540121427399</v>
      </c>
    </row>
    <row r="1897" spans="1:3">
      <c r="A1897" s="20">
        <v>43958</v>
      </c>
      <c r="B1897" s="23">
        <v>275.66250000000002</v>
      </c>
      <c r="C1897" s="21">
        <v>3.8263540127922999</v>
      </c>
    </row>
    <row r="1898" spans="1:3">
      <c r="A1898" s="20">
        <v>43957</v>
      </c>
      <c r="B1898" s="23">
        <v>275.6103</v>
      </c>
      <c r="C1898" s="21">
        <v>3.8215526392516699</v>
      </c>
    </row>
    <row r="1899" spans="1:3">
      <c r="A1899" s="20">
        <v>43956</v>
      </c>
      <c r="B1899" s="23">
        <v>275.55810000000002</v>
      </c>
      <c r="C1899" s="21">
        <v>3.8167107778960401</v>
      </c>
    </row>
    <row r="1900" spans="1:3">
      <c r="A1900" s="20">
        <v>43955</v>
      </c>
      <c r="B1900" s="23">
        <v>275.5059</v>
      </c>
      <c r="C1900" s="21">
        <v>3.8119066504138299</v>
      </c>
    </row>
    <row r="1901" spans="1:3">
      <c r="A1901" s="20">
        <v>43954</v>
      </c>
      <c r="B1901" s="23">
        <v>275.45370000000003</v>
      </c>
      <c r="C1901" s="21">
        <v>3.8070620263831101</v>
      </c>
    </row>
    <row r="1902" spans="1:3">
      <c r="A1902" s="20">
        <v>43953</v>
      </c>
      <c r="B1902" s="23">
        <v>275.4015</v>
      </c>
      <c r="C1902" s="21">
        <v>3.8022551425935198</v>
      </c>
    </row>
    <row r="1903" spans="1:3">
      <c r="A1903" s="20">
        <v>43952</v>
      </c>
      <c r="B1903" s="23">
        <v>275.34930000000003</v>
      </c>
      <c r="C1903" s="21">
        <v>3.7974077535183199</v>
      </c>
    </row>
    <row r="1904" spans="1:3">
      <c r="A1904" s="20">
        <v>43951</v>
      </c>
      <c r="B1904" s="23">
        <v>275.29719999999998</v>
      </c>
      <c r="C1904" s="21">
        <v>3.7926358130838902</v>
      </c>
    </row>
    <row r="1905" spans="1:3">
      <c r="A1905" s="20">
        <v>43950</v>
      </c>
      <c r="B1905" s="23">
        <v>275.245</v>
      </c>
      <c r="C1905" s="21">
        <v>3.78778566198014</v>
      </c>
    </row>
    <row r="1906" spans="1:3">
      <c r="A1906" s="20">
        <v>43949</v>
      </c>
      <c r="B1906" s="23">
        <v>275.19290000000001</v>
      </c>
      <c r="C1906" s="21">
        <v>3.7829718372058698</v>
      </c>
    </row>
    <row r="1907" spans="1:3">
      <c r="A1907" s="20">
        <v>43948</v>
      </c>
      <c r="B1907" s="23">
        <v>275.14069999999998</v>
      </c>
      <c r="C1907" s="21">
        <v>3.7781580611932801</v>
      </c>
    </row>
    <row r="1908" spans="1:3">
      <c r="A1908" s="20">
        <v>43947</v>
      </c>
      <c r="B1908" s="23">
        <v>275.08859999999999</v>
      </c>
      <c r="C1908" s="21">
        <v>3.77334148163238</v>
      </c>
    </row>
    <row r="1909" spans="1:3">
      <c r="A1909" s="20">
        <v>43946</v>
      </c>
      <c r="B1909" s="23">
        <v>275.03649999999999</v>
      </c>
      <c r="C1909" s="21">
        <v>3.76852352459799</v>
      </c>
    </row>
    <row r="1910" spans="1:3">
      <c r="A1910" s="20">
        <v>43945</v>
      </c>
      <c r="B1910" s="23">
        <v>274.98439999999999</v>
      </c>
      <c r="C1910" s="21">
        <v>3.7637041894991201</v>
      </c>
    </row>
    <row r="1911" spans="1:3">
      <c r="A1911" s="20">
        <v>43944</v>
      </c>
      <c r="B1911" s="23">
        <v>274.9323</v>
      </c>
      <c r="C1911" s="21">
        <v>3.75888347574445</v>
      </c>
    </row>
    <row r="1912" spans="1:3">
      <c r="A1912" s="20">
        <v>43943</v>
      </c>
      <c r="B1912" s="23">
        <v>274.8802</v>
      </c>
      <c r="C1912" s="21">
        <v>3.75406138274229</v>
      </c>
    </row>
    <row r="1913" spans="1:3">
      <c r="A1913" s="20">
        <v>43942</v>
      </c>
      <c r="B1913" s="23">
        <v>274.82810000000001</v>
      </c>
      <c r="C1913" s="21">
        <v>3.7492379099006601</v>
      </c>
    </row>
    <row r="1914" spans="1:3">
      <c r="A1914" s="20">
        <v>43941</v>
      </c>
      <c r="B1914" s="23">
        <v>274.77609999999999</v>
      </c>
      <c r="C1914" s="21">
        <v>3.7444508126222802</v>
      </c>
    </row>
    <row r="1915" spans="1:3">
      <c r="A1915" s="20">
        <v>43940</v>
      </c>
      <c r="B1915" s="23">
        <v>274.72399999999999</v>
      </c>
      <c r="C1915" s="21">
        <v>3.7395854102094699</v>
      </c>
    </row>
    <row r="1916" spans="1:3">
      <c r="A1916" s="20">
        <v>43939</v>
      </c>
      <c r="B1916" s="23">
        <v>274.67200000000003</v>
      </c>
      <c r="C1916" s="21">
        <v>3.7347955627043898</v>
      </c>
    </row>
    <row r="1917" spans="1:3">
      <c r="A1917" s="20">
        <v>43938</v>
      </c>
      <c r="B1917" s="23">
        <v>274.61989999999997</v>
      </c>
      <c r="C1917" s="21">
        <v>3.7299665716066399</v>
      </c>
    </row>
    <row r="1918" spans="1:3">
      <c r="A1918" s="20">
        <v>43937</v>
      </c>
      <c r="B1918" s="23">
        <v>274.56790000000001</v>
      </c>
      <c r="C1918" s="21">
        <v>3.7251347904401499</v>
      </c>
    </row>
    <row r="1919" spans="1:3">
      <c r="A1919" s="20">
        <v>43936</v>
      </c>
      <c r="B1919" s="23">
        <v>274.51589999999999</v>
      </c>
      <c r="C1919" s="21">
        <v>3.72034081776768</v>
      </c>
    </row>
    <row r="1920" spans="1:3">
      <c r="A1920" s="20">
        <v>43935</v>
      </c>
      <c r="B1920" s="23">
        <v>274.45679999999999</v>
      </c>
      <c r="C1920" s="21">
        <v>3.71705614866864</v>
      </c>
    </row>
    <row r="1921" spans="1:3">
      <c r="A1921" s="20">
        <v>43934</v>
      </c>
      <c r="B1921" s="23">
        <v>274.39769999999999</v>
      </c>
      <c r="C1921" s="21">
        <v>3.7137310722744101</v>
      </c>
    </row>
    <row r="1922" spans="1:3">
      <c r="A1922" s="20">
        <v>43933</v>
      </c>
      <c r="B1922" s="23">
        <v>274.33859999999999</v>
      </c>
      <c r="C1922" s="21">
        <v>3.7104047765852401</v>
      </c>
    </row>
    <row r="1923" spans="1:3">
      <c r="A1923" s="20">
        <v>43932</v>
      </c>
      <c r="B1923" s="23">
        <v>274.27949999999998</v>
      </c>
      <c r="C1923" s="21">
        <v>3.7070772609303302</v>
      </c>
    </row>
    <row r="1924" spans="1:3">
      <c r="A1924" s="20">
        <v>43931</v>
      </c>
      <c r="B1924" s="23">
        <v>274.22039999999998</v>
      </c>
      <c r="C1924" s="21">
        <v>3.7037485246383999</v>
      </c>
    </row>
    <row r="1925" spans="1:3">
      <c r="A1925" s="20">
        <v>43930</v>
      </c>
      <c r="B1925" s="23">
        <v>274.16129999999998</v>
      </c>
      <c r="C1925" s="21">
        <v>3.7003793427826701</v>
      </c>
    </row>
    <row r="1926" spans="1:3">
      <c r="A1926" s="20">
        <v>43929</v>
      </c>
      <c r="B1926" s="23">
        <v>274.10230000000001</v>
      </c>
      <c r="C1926" s="21">
        <v>3.6970859887912799</v>
      </c>
    </row>
    <row r="1927" spans="1:3">
      <c r="A1927" s="20">
        <v>43928</v>
      </c>
      <c r="B1927" s="23">
        <v>274.04329999999999</v>
      </c>
      <c r="C1927" s="21">
        <v>3.69379142602976</v>
      </c>
    </row>
    <row r="1928" spans="1:3">
      <c r="A1928" s="20">
        <v>43927</v>
      </c>
      <c r="B1928" s="23">
        <v>273.98419999999999</v>
      </c>
      <c r="C1928" s="21">
        <v>3.6904185663481002</v>
      </c>
    </row>
    <row r="1929" spans="1:3">
      <c r="A1929" s="20">
        <v>43926</v>
      </c>
      <c r="B1929" s="23">
        <v>273.92520000000002</v>
      </c>
      <c r="C1929" s="21">
        <v>3.6871215711450001</v>
      </c>
    </row>
    <row r="1930" spans="1:3">
      <c r="A1930" s="20">
        <v>43925</v>
      </c>
      <c r="B1930" s="23">
        <v>273.86619999999999</v>
      </c>
      <c r="C1930" s="21">
        <v>3.6837841112154299</v>
      </c>
    </row>
    <row r="1931" spans="1:3">
      <c r="A1931" s="20">
        <v>43924</v>
      </c>
      <c r="B1931" s="23">
        <v>273.80720000000002</v>
      </c>
      <c r="C1931" s="21">
        <v>3.6804454279564802</v>
      </c>
    </row>
    <row r="1932" spans="1:3">
      <c r="A1932" s="20">
        <v>43923</v>
      </c>
      <c r="B1932" s="23">
        <v>273.74829999999997</v>
      </c>
      <c r="C1932" s="21">
        <v>3.6771433938597</v>
      </c>
    </row>
    <row r="1933" spans="1:3">
      <c r="A1933" s="20">
        <v>43922</v>
      </c>
      <c r="B1933" s="23">
        <v>273.6893</v>
      </c>
      <c r="C1933" s="21">
        <v>3.6738022688669498</v>
      </c>
    </row>
    <row r="1934" spans="1:3">
      <c r="A1934" s="20">
        <v>43921</v>
      </c>
      <c r="B1934" s="23">
        <v>273.63040000000001</v>
      </c>
      <c r="C1934" s="21">
        <v>3.67049780558182</v>
      </c>
    </row>
    <row r="1935" spans="1:3">
      <c r="A1935" s="20">
        <v>43920</v>
      </c>
      <c r="B1935" s="23">
        <v>273.57139999999998</v>
      </c>
      <c r="C1935" s="21">
        <v>3.66715423617058</v>
      </c>
    </row>
    <row r="1936" spans="1:3">
      <c r="A1936" s="20">
        <v>43919</v>
      </c>
      <c r="B1936" s="23">
        <v>273.51249999999999</v>
      </c>
      <c r="C1936" s="21">
        <v>3.6638473410206598</v>
      </c>
    </row>
    <row r="1937" spans="1:3">
      <c r="A1937" s="20">
        <v>43918</v>
      </c>
      <c r="B1937" s="23">
        <v>273.45359999999999</v>
      </c>
      <c r="C1937" s="21">
        <v>3.6605392324103501</v>
      </c>
    </row>
    <row r="1938" spans="1:3">
      <c r="A1938" s="20">
        <v>43917</v>
      </c>
      <c r="B1938" s="23">
        <v>273.3947</v>
      </c>
      <c r="C1938" s="21">
        <v>3.6571906081883201</v>
      </c>
    </row>
    <row r="1939" spans="1:3">
      <c r="A1939" s="20">
        <v>43916</v>
      </c>
      <c r="B1939" s="23">
        <v>273.33580000000001</v>
      </c>
      <c r="C1939" s="21">
        <v>3.6538800646946101</v>
      </c>
    </row>
    <row r="1940" spans="1:3">
      <c r="A1940" s="20">
        <v>43915</v>
      </c>
      <c r="B1940" s="23">
        <v>273.27690000000001</v>
      </c>
      <c r="C1940" s="21">
        <v>3.65052899236191</v>
      </c>
    </row>
    <row r="1941" spans="1:3">
      <c r="A1941" s="20">
        <v>43914</v>
      </c>
      <c r="B1941" s="23">
        <v>273.21809999999999</v>
      </c>
      <c r="C1941" s="21">
        <v>3.6472539470220098</v>
      </c>
    </row>
    <row r="1942" spans="1:3">
      <c r="A1942" s="20">
        <v>43913</v>
      </c>
      <c r="B1942" s="23">
        <v>273.1592</v>
      </c>
      <c r="C1942" s="21">
        <v>3.6439004308390501</v>
      </c>
    </row>
    <row r="1943" spans="1:3">
      <c r="A1943" s="20">
        <v>43912</v>
      </c>
      <c r="B1943" s="23">
        <v>273.10039999999998</v>
      </c>
      <c r="C1943" s="21">
        <v>3.64058363490637</v>
      </c>
    </row>
    <row r="1944" spans="1:3">
      <c r="A1944" s="20">
        <v>43911</v>
      </c>
      <c r="B1944" s="23">
        <v>273.04160000000002</v>
      </c>
      <c r="C1944" s="21">
        <v>3.6372656228352902</v>
      </c>
    </row>
    <row r="1945" spans="1:3">
      <c r="A1945" s="20">
        <v>43910</v>
      </c>
      <c r="B1945" s="23">
        <v>272.9828</v>
      </c>
      <c r="C1945" s="21">
        <v>3.6339463939568102</v>
      </c>
    </row>
    <row r="1946" spans="1:3">
      <c r="A1946" s="20">
        <v>43909</v>
      </c>
      <c r="B1946" s="23">
        <v>272.92399999999998</v>
      </c>
      <c r="C1946" s="21">
        <v>3.6306259476014602</v>
      </c>
    </row>
    <row r="1947" spans="1:3">
      <c r="A1947" s="20">
        <v>43908</v>
      </c>
      <c r="B1947" s="23">
        <v>272.86520000000002</v>
      </c>
      <c r="C1947" s="21">
        <v>3.6273042830992699</v>
      </c>
    </row>
    <row r="1948" spans="1:3">
      <c r="A1948" s="20">
        <v>43907</v>
      </c>
      <c r="B1948" s="23">
        <v>272.8064</v>
      </c>
      <c r="C1948" s="21">
        <v>3.6239813997797699</v>
      </c>
    </row>
    <row r="1949" spans="1:3">
      <c r="A1949" s="20">
        <v>43906</v>
      </c>
      <c r="B1949" s="23">
        <v>272.74759999999998</v>
      </c>
      <c r="C1949" s="21">
        <v>3.6206179300388501</v>
      </c>
    </row>
    <row r="1950" spans="1:3">
      <c r="A1950" s="20">
        <v>43905</v>
      </c>
      <c r="B1950" s="23">
        <v>272.68889999999999</v>
      </c>
      <c r="C1950" s="21">
        <v>3.6173305994774498</v>
      </c>
    </row>
    <row r="1951" spans="1:3">
      <c r="A1951" s="20">
        <v>43904</v>
      </c>
      <c r="B1951" s="23">
        <v>272.64949999999999</v>
      </c>
      <c r="C1951" s="21">
        <v>3.6244883377104098</v>
      </c>
    </row>
    <row r="1952" spans="1:3">
      <c r="A1952" s="20">
        <v>43903</v>
      </c>
      <c r="B1952" s="23">
        <v>272.61009999999999</v>
      </c>
      <c r="C1952" s="21">
        <v>3.6316491343314401</v>
      </c>
    </row>
    <row r="1953" spans="1:3">
      <c r="A1953" s="20">
        <v>43902</v>
      </c>
      <c r="B1953" s="23">
        <v>272.57069999999999</v>
      </c>
      <c r="C1953" s="21">
        <v>3.63881299130116</v>
      </c>
    </row>
    <row r="1954" spans="1:3">
      <c r="A1954" s="20">
        <v>43901</v>
      </c>
      <c r="B1954" s="23">
        <v>272.53129999999999</v>
      </c>
      <c r="C1954" s="21">
        <v>3.6459799105818602</v>
      </c>
    </row>
    <row r="1955" spans="1:3">
      <c r="A1955" s="20">
        <v>43900</v>
      </c>
      <c r="B1955" s="23">
        <v>272.49189999999999</v>
      </c>
      <c r="C1955" s="21">
        <v>3.6531498941375098</v>
      </c>
    </row>
    <row r="1956" spans="1:3">
      <c r="A1956" s="20">
        <v>43899</v>
      </c>
      <c r="B1956" s="23">
        <v>272.45249999999999</v>
      </c>
      <c r="C1956" s="21">
        <v>3.66028350418385</v>
      </c>
    </row>
    <row r="1957" spans="1:3">
      <c r="A1957" s="20">
        <v>43898</v>
      </c>
      <c r="B1957" s="23">
        <v>272.41320000000002</v>
      </c>
      <c r="C1957" s="21">
        <v>3.6674976662623902</v>
      </c>
    </row>
    <row r="1958" spans="1:3">
      <c r="A1958" s="20">
        <v>43897</v>
      </c>
      <c r="B1958" s="23">
        <v>272.37380000000002</v>
      </c>
      <c r="C1958" s="21">
        <v>3.6746373893402802</v>
      </c>
    </row>
    <row r="1959" spans="1:3">
      <c r="A1959" s="20">
        <v>43896</v>
      </c>
      <c r="B1959" s="23">
        <v>272.33440000000002</v>
      </c>
      <c r="C1959" s="21">
        <v>3.6817801622378701</v>
      </c>
    </row>
    <row r="1960" spans="1:3">
      <c r="A1960" s="20">
        <v>43895</v>
      </c>
      <c r="B1960" s="23">
        <v>272.29509999999999</v>
      </c>
      <c r="C1960" s="21">
        <v>3.6890035509267598</v>
      </c>
    </row>
    <row r="1961" spans="1:3">
      <c r="A1961" s="20">
        <v>43894</v>
      </c>
      <c r="B1961" s="23">
        <v>272.25569999999999</v>
      </c>
      <c r="C1961" s="21">
        <v>3.6961524486253001</v>
      </c>
    </row>
    <row r="1962" spans="1:3">
      <c r="A1962" s="20">
        <v>43893</v>
      </c>
      <c r="B1962" s="23">
        <v>272.21640000000002</v>
      </c>
      <c r="C1962" s="21">
        <v>3.7033029912143198</v>
      </c>
    </row>
    <row r="1963" spans="1:3">
      <c r="A1963" s="20">
        <v>43892</v>
      </c>
      <c r="B1963" s="23">
        <v>272.1771</v>
      </c>
      <c r="C1963" s="21">
        <v>3.7104961032894099</v>
      </c>
    </row>
    <row r="1964" spans="1:3">
      <c r="A1964" s="20">
        <v>43891</v>
      </c>
      <c r="B1964" s="23">
        <v>272.1377</v>
      </c>
      <c r="C1964" s="21">
        <v>3.71765417907854</v>
      </c>
    </row>
    <row r="1965" spans="1:3">
      <c r="A1965" s="20">
        <v>43890</v>
      </c>
      <c r="B1965" s="23">
        <v>272.09840000000003</v>
      </c>
      <c r="C1965" s="21">
        <v>3.7248138965383699</v>
      </c>
    </row>
    <row r="1966" spans="1:3">
      <c r="A1966" s="20">
        <v>43889</v>
      </c>
      <c r="B1966" s="23">
        <v>272.0591</v>
      </c>
      <c r="C1966" s="21">
        <v>3.7098326059973998</v>
      </c>
    </row>
    <row r="1967" spans="1:3">
      <c r="A1967" s="20">
        <v>43888</v>
      </c>
      <c r="B1967" s="23">
        <v>272.01979999999998</v>
      </c>
      <c r="C1967" s="21">
        <v>3.7170317278571701</v>
      </c>
    </row>
    <row r="1968" spans="1:3">
      <c r="A1968" s="20">
        <v>43887</v>
      </c>
      <c r="B1968" s="23">
        <v>271.98039999999997</v>
      </c>
      <c r="C1968" s="21">
        <v>3.7241562366164298</v>
      </c>
    </row>
    <row r="1969" spans="1:3">
      <c r="A1969" s="20">
        <v>43886</v>
      </c>
      <c r="B1969" s="23">
        <v>271.94110000000001</v>
      </c>
      <c r="C1969" s="21">
        <v>3.73132193389434</v>
      </c>
    </row>
    <row r="1970" spans="1:3">
      <c r="A1970" s="20">
        <v>43885</v>
      </c>
      <c r="B1970" s="23">
        <v>271.90179999999998</v>
      </c>
      <c r="C1970" s="21">
        <v>3.7384906931661601</v>
      </c>
    </row>
    <row r="1971" spans="1:3">
      <c r="A1971" s="20">
        <v>43884</v>
      </c>
      <c r="B1971" s="23">
        <v>271.86250000000001</v>
      </c>
      <c r="C1971" s="21">
        <v>3.7456625163949502</v>
      </c>
    </row>
    <row r="1972" spans="1:3">
      <c r="A1972" s="20">
        <v>43883</v>
      </c>
      <c r="B1972" s="23">
        <v>271.82330000000002</v>
      </c>
      <c r="C1972" s="21">
        <v>3.7528755747809801</v>
      </c>
    </row>
    <row r="1973" spans="1:3">
      <c r="A1973" s="20">
        <v>43882</v>
      </c>
      <c r="B1973" s="23">
        <v>271.78399999999999</v>
      </c>
      <c r="C1973" s="21">
        <v>3.7600139271086901</v>
      </c>
    </row>
    <row r="1974" spans="1:3">
      <c r="A1974" s="20">
        <v>43881</v>
      </c>
      <c r="B1974" s="23">
        <v>271.74470000000002</v>
      </c>
      <c r="C1974" s="21">
        <v>3.7671949509544902</v>
      </c>
    </row>
    <row r="1975" spans="1:3">
      <c r="A1975" s="20">
        <v>43880</v>
      </c>
      <c r="B1975" s="23">
        <v>271.7054</v>
      </c>
      <c r="C1975" s="21">
        <v>3.77433941135109</v>
      </c>
    </row>
    <row r="1976" spans="1:3">
      <c r="A1976" s="20">
        <v>43879</v>
      </c>
      <c r="B1976" s="23">
        <v>271.6662</v>
      </c>
      <c r="C1976" s="21">
        <v>3.7815647714592302</v>
      </c>
    </row>
    <row r="1977" spans="1:3">
      <c r="A1977" s="20">
        <v>43878</v>
      </c>
      <c r="B1977" s="23">
        <v>271.62689999999998</v>
      </c>
      <c r="C1977" s="21">
        <v>3.7887153559225899</v>
      </c>
    </row>
    <row r="1978" spans="1:3">
      <c r="A1978" s="20">
        <v>43877</v>
      </c>
      <c r="B1978" s="23">
        <v>271.58760000000001</v>
      </c>
      <c r="C1978" s="21">
        <v>3.7958689956832599</v>
      </c>
    </row>
    <row r="1979" spans="1:3">
      <c r="A1979" s="20">
        <v>43876</v>
      </c>
      <c r="B1979" s="23">
        <v>271.54840000000002</v>
      </c>
      <c r="C1979" s="21">
        <v>3.8030639190579798</v>
      </c>
    </row>
    <row r="1980" spans="1:3">
      <c r="A1980" s="20">
        <v>43875</v>
      </c>
      <c r="B1980" s="23">
        <v>271.52569999999997</v>
      </c>
      <c r="C1980" s="21">
        <v>3.80442574060219</v>
      </c>
    </row>
    <row r="1981" spans="1:3">
      <c r="A1981" s="20">
        <v>43874</v>
      </c>
      <c r="B1981" s="23">
        <v>271.50290000000001</v>
      </c>
      <c r="C1981" s="21">
        <v>3.80574959185468</v>
      </c>
    </row>
    <row r="1982" spans="1:3">
      <c r="A1982" s="20">
        <v>43873</v>
      </c>
      <c r="B1982" s="23">
        <v>271.48020000000002</v>
      </c>
      <c r="C1982" s="21">
        <v>3.8071119367001902</v>
      </c>
    </row>
    <row r="1983" spans="1:3">
      <c r="A1983" s="20">
        <v>43872</v>
      </c>
      <c r="B1983" s="23">
        <v>271.45740000000001</v>
      </c>
      <c r="C1983" s="21">
        <v>3.80839660648149</v>
      </c>
    </row>
    <row r="1984" spans="1:3">
      <c r="A1984" s="20">
        <v>43871</v>
      </c>
      <c r="B1984" s="23">
        <v>271.43470000000002</v>
      </c>
      <c r="C1984" s="21">
        <v>3.8097594705690701</v>
      </c>
    </row>
    <row r="1985" spans="1:3">
      <c r="A1985" s="20">
        <v>43870</v>
      </c>
      <c r="B1985" s="23">
        <v>271.41199999999998</v>
      </c>
      <c r="C1985" s="21">
        <v>3.8111225984220898</v>
      </c>
    </row>
    <row r="1986" spans="1:3">
      <c r="A1986" s="20">
        <v>43869</v>
      </c>
      <c r="B1986" s="23">
        <v>271.38920000000002</v>
      </c>
      <c r="C1986" s="21">
        <v>3.8124080273059699</v>
      </c>
    </row>
    <row r="1987" spans="1:3">
      <c r="A1987" s="20">
        <v>43868</v>
      </c>
      <c r="B1987" s="23">
        <v>271.36649999999997</v>
      </c>
      <c r="C1987" s="21">
        <v>3.81377167485216</v>
      </c>
    </row>
    <row r="1988" spans="1:3">
      <c r="A1988" s="20">
        <v>43867</v>
      </c>
      <c r="B1988" s="23">
        <v>271.34379999999999</v>
      </c>
      <c r="C1988" s="21">
        <v>3.8151355863919698</v>
      </c>
    </row>
    <row r="1989" spans="1:3">
      <c r="A1989" s="20">
        <v>43866</v>
      </c>
      <c r="B1989" s="23">
        <v>271.32100000000003</v>
      </c>
      <c r="C1989" s="21">
        <v>3.81642177504306</v>
      </c>
    </row>
    <row r="1990" spans="1:3">
      <c r="A1990" s="20">
        <v>43865</v>
      </c>
      <c r="B1990" s="23">
        <v>271.29829999999998</v>
      </c>
      <c r="C1990" s="21">
        <v>3.81778620672765</v>
      </c>
    </row>
    <row r="1991" spans="1:3">
      <c r="A1991" s="20">
        <v>43864</v>
      </c>
      <c r="B1991" s="23">
        <v>271.2756</v>
      </c>
      <c r="C1991" s="21">
        <v>3.8191111703031502</v>
      </c>
    </row>
    <row r="1992" spans="1:3">
      <c r="A1992" s="20">
        <v>43863</v>
      </c>
      <c r="B1992" s="23">
        <v>271.25290000000001</v>
      </c>
      <c r="C1992" s="21">
        <v>3.8204761261387099</v>
      </c>
    </row>
    <row r="1993" spans="1:3">
      <c r="A1993" s="20">
        <v>43862</v>
      </c>
      <c r="B1993" s="23">
        <v>271.23009999999999</v>
      </c>
      <c r="C1993" s="21">
        <v>3.8217633271947999</v>
      </c>
    </row>
    <row r="1994" spans="1:3">
      <c r="A1994" s="20">
        <v>43861</v>
      </c>
      <c r="B1994" s="23">
        <v>271.20740000000001</v>
      </c>
      <c r="C1994" s="21">
        <v>3.8230890584092299</v>
      </c>
    </row>
    <row r="1995" spans="1:3">
      <c r="A1995" s="20">
        <v>43860</v>
      </c>
      <c r="B1995" s="23">
        <v>271.18470000000002</v>
      </c>
      <c r="C1995" s="21">
        <v>3.8244547951457002</v>
      </c>
    </row>
    <row r="1996" spans="1:3">
      <c r="A1996" s="20">
        <v>43859</v>
      </c>
      <c r="B1996" s="23">
        <v>271.16199999999998</v>
      </c>
      <c r="C1996" s="21">
        <v>3.8257810424006999</v>
      </c>
    </row>
    <row r="1997" spans="1:3">
      <c r="A1997" s="20">
        <v>43858</v>
      </c>
      <c r="B1997" s="23">
        <v>271.13929999999999</v>
      </c>
      <c r="C1997" s="21">
        <v>3.82714730404461</v>
      </c>
    </row>
    <row r="1998" spans="1:3">
      <c r="A1998" s="20">
        <v>43857</v>
      </c>
      <c r="B1998" s="23">
        <v>271.11660000000001</v>
      </c>
      <c r="C1998" s="21">
        <v>3.82847406764024</v>
      </c>
    </row>
    <row r="1999" spans="1:3">
      <c r="A1999" s="20">
        <v>43856</v>
      </c>
      <c r="B1999" s="23">
        <v>271.09390000000002</v>
      </c>
      <c r="C1999" s="21">
        <v>3.82980108734577</v>
      </c>
    </row>
    <row r="2000" spans="1:3">
      <c r="A2000" s="20">
        <v>43855</v>
      </c>
      <c r="B2000" s="23">
        <v>271.07119999999998</v>
      </c>
      <c r="C2000" s="21">
        <v>3.8311681347320898</v>
      </c>
    </row>
    <row r="2001" spans="1:3">
      <c r="A2001" s="20">
        <v>43854</v>
      </c>
      <c r="B2001" s="23">
        <v>271.04849999999999</v>
      </c>
      <c r="C2001" s="21">
        <v>3.8324956712278402</v>
      </c>
    </row>
    <row r="2002" spans="1:3">
      <c r="A2002" s="20">
        <v>43853</v>
      </c>
      <c r="B2002" s="23">
        <v>271.0258</v>
      </c>
      <c r="C2002" s="21">
        <v>3.8338234640570001</v>
      </c>
    </row>
    <row r="2003" spans="1:3">
      <c r="A2003" s="20">
        <v>43852</v>
      </c>
      <c r="B2003" s="23">
        <v>271.00310000000002</v>
      </c>
      <c r="C2003" s="21">
        <v>3.8351515132938099</v>
      </c>
    </row>
    <row r="2004" spans="1:3">
      <c r="A2004" s="20">
        <v>43851</v>
      </c>
      <c r="B2004" s="23">
        <v>270.98039999999997</v>
      </c>
      <c r="C2004" s="21">
        <v>3.83647981901257</v>
      </c>
    </row>
    <row r="2005" spans="1:3">
      <c r="A2005" s="20">
        <v>43850</v>
      </c>
      <c r="B2005" s="23">
        <v>270.95769999999999</v>
      </c>
      <c r="C2005" s="21">
        <v>3.8378481745637298</v>
      </c>
    </row>
    <row r="2006" spans="1:3">
      <c r="A2006" s="20">
        <v>43849</v>
      </c>
      <c r="B2006" s="23">
        <v>270.935</v>
      </c>
      <c r="C2006" s="21">
        <v>3.8391769978219199</v>
      </c>
    </row>
    <row r="2007" spans="1:3">
      <c r="A2007" s="20">
        <v>43848</v>
      </c>
      <c r="B2007" s="23">
        <v>270.91230000000002</v>
      </c>
      <c r="C2007" s="21">
        <v>3.8405060777859998</v>
      </c>
    </row>
    <row r="2008" spans="1:3">
      <c r="A2008" s="20">
        <v>43847</v>
      </c>
      <c r="B2008" s="23">
        <v>270.88959999999997</v>
      </c>
      <c r="C2008" s="21">
        <v>3.8418354145303701</v>
      </c>
    </row>
    <row r="2009" spans="1:3">
      <c r="A2009" s="20">
        <v>43846</v>
      </c>
      <c r="B2009" s="23">
        <v>270.86689999999999</v>
      </c>
      <c r="C2009" s="21">
        <v>3.84316500812943</v>
      </c>
    </row>
    <row r="2010" spans="1:3">
      <c r="A2010" s="20">
        <v>43845</v>
      </c>
      <c r="B2010" s="23">
        <v>270.8442</v>
      </c>
      <c r="C2010" s="21">
        <v>3.8444948586576602</v>
      </c>
    </row>
    <row r="2011" spans="1:3">
      <c r="A2011" s="20">
        <v>43844</v>
      </c>
      <c r="B2011" s="23">
        <v>270.83539999999999</v>
      </c>
      <c r="C2011" s="21">
        <v>3.8451421932693499</v>
      </c>
    </row>
    <row r="2012" spans="1:3">
      <c r="A2012" s="20">
        <v>43843</v>
      </c>
      <c r="B2012" s="23">
        <v>270.82670000000002</v>
      </c>
      <c r="C2012" s="21">
        <v>3.8458279220343501</v>
      </c>
    </row>
    <row r="2013" spans="1:3">
      <c r="A2013" s="20">
        <v>43842</v>
      </c>
      <c r="B2013" s="23">
        <v>270.81799999999998</v>
      </c>
      <c r="C2013" s="21">
        <v>3.8465137039144599</v>
      </c>
    </row>
    <row r="2014" spans="1:3">
      <c r="A2014" s="20">
        <v>43841</v>
      </c>
      <c r="B2014" s="23">
        <v>270.80919999999998</v>
      </c>
      <c r="C2014" s="21">
        <v>3.8471611919316402</v>
      </c>
    </row>
    <row r="2015" spans="1:3">
      <c r="A2015" s="20">
        <v>43840</v>
      </c>
      <c r="B2015" s="23">
        <v>270.8005</v>
      </c>
      <c r="C2015" s="21">
        <v>3.8478072545305801</v>
      </c>
    </row>
    <row r="2016" spans="1:3">
      <c r="A2016" s="20">
        <v>43839</v>
      </c>
      <c r="B2016" s="23">
        <v>270.79180000000002</v>
      </c>
      <c r="C2016" s="21">
        <v>3.8484931925021302</v>
      </c>
    </row>
    <row r="2017" spans="1:3">
      <c r="A2017" s="20">
        <v>43838</v>
      </c>
      <c r="B2017" s="23">
        <v>270.78309999999999</v>
      </c>
      <c r="C2017" s="21">
        <v>3.8491791836132001</v>
      </c>
    </row>
    <row r="2018" spans="1:3">
      <c r="A2018" s="20">
        <v>43837</v>
      </c>
      <c r="B2018" s="23">
        <v>270.77429999999998</v>
      </c>
      <c r="C2018" s="21">
        <v>3.8498268749587701</v>
      </c>
    </row>
    <row r="2019" spans="1:3">
      <c r="A2019" s="20">
        <v>43836</v>
      </c>
      <c r="B2019" s="23">
        <v>270.76560000000001</v>
      </c>
      <c r="C2019" s="21">
        <v>3.8505129708817298</v>
      </c>
    </row>
    <row r="2020" spans="1:3">
      <c r="A2020" s="20">
        <v>43835</v>
      </c>
      <c r="B2020" s="23">
        <v>270.75689999999997</v>
      </c>
      <c r="C2020" s="21">
        <v>3.8511991199626299</v>
      </c>
    </row>
    <row r="2021" spans="1:3">
      <c r="A2021" s="20">
        <v>43834</v>
      </c>
      <c r="B2021" s="23">
        <v>270.74810000000002</v>
      </c>
      <c r="C2021" s="21">
        <v>3.8518469648389502</v>
      </c>
    </row>
    <row r="2022" spans="1:3">
      <c r="A2022" s="20">
        <v>43833</v>
      </c>
      <c r="B2022" s="23">
        <v>270.73939999999999</v>
      </c>
      <c r="C2022" s="21">
        <v>3.85249338214112</v>
      </c>
    </row>
    <row r="2023" spans="1:3">
      <c r="A2023" s="20">
        <v>43832</v>
      </c>
      <c r="B2023" s="23">
        <v>270.73070000000001</v>
      </c>
      <c r="C2023" s="21">
        <v>3.8531796874400599</v>
      </c>
    </row>
    <row r="2024" spans="1:3">
      <c r="A2024" s="20">
        <v>43831</v>
      </c>
      <c r="B2024" s="23">
        <v>270.72190000000001</v>
      </c>
      <c r="C2024" s="21">
        <v>3.8538276841088899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98482F-570B-4433-B281-C0F7F53728D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ICETEX</vt:lpstr>
      <vt:lpstr>Analisis</vt:lpstr>
      <vt:lpstr>UVR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Mesa</dc:creator>
  <cp:lastModifiedBy>Felipe Mesa</cp:lastModifiedBy>
  <dcterms:created xsi:type="dcterms:W3CDTF">2025-06-27T22:23:15Z</dcterms:created>
  <dcterms:modified xsi:type="dcterms:W3CDTF">2025-06-29T23:57:04Z</dcterms:modified>
</cp:coreProperties>
</file>